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"/>
    </mc:Choice>
  </mc:AlternateContent>
  <xr:revisionPtr revIDLastSave="0" documentId="13_ncr:1_{3D6B8647-DB80-48CA-A0F1-76738C7582DC}" xr6:coauthVersionLast="47" xr6:coauthVersionMax="47" xr10:uidLastSave="{00000000-0000-0000-0000-000000000000}"/>
  <bookViews>
    <workbookView xWindow="-108" yWindow="-108" windowWidth="23256" windowHeight="12720" xr2:uid="{C7F1081B-5DFB-45AE-B062-9D85F71FD1B2}"/>
  </bookViews>
  <sheets>
    <sheet name="Capacitores" sheetId="1" r:id="rId1"/>
    <sheet name="Resistores" sheetId="6" r:id="rId2"/>
    <sheet name="Leds" sheetId="5" r:id="rId3"/>
  </sheets>
  <definedNames>
    <definedName name="_xlnm._FilterDatabase" localSheetId="0" hidden="1">'Capacitores'!$B$5:$H$11</definedName>
    <definedName name="_xlnm._FilterDatabase" localSheetId="2" hidden="1">Leds!$B$5:$E$11</definedName>
    <definedName name="_xlnm._FilterDatabase" localSheetId="1" hidden="1">Resistores!$B$5:$H$11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6" l="1"/>
  <c r="B55" i="6"/>
  <c r="B5" i="6"/>
  <c r="B7" i="6"/>
  <c r="B9" i="6"/>
  <c r="B43" i="6"/>
  <c r="B58" i="6"/>
  <c r="B59" i="6"/>
  <c r="B31" i="6"/>
  <c r="B56" i="6"/>
  <c r="B16" i="6"/>
  <c r="B53" i="6"/>
  <c r="B44" i="6"/>
  <c r="B49" i="6"/>
  <c r="B30" i="6"/>
  <c r="B41" i="6"/>
  <c r="B32" i="6"/>
  <c r="B54" i="6"/>
  <c r="B50" i="6"/>
  <c r="B14" i="6"/>
  <c r="B34" i="6"/>
  <c r="B33" i="6"/>
  <c r="B37" i="6"/>
  <c r="B10" i="6"/>
  <c r="B48" i="6"/>
  <c r="B11" i="6"/>
  <c r="B28" i="6"/>
  <c r="B38" i="6"/>
  <c r="B18" i="6"/>
  <c r="B52" i="6"/>
  <c r="B42" i="6"/>
  <c r="B19" i="6"/>
  <c r="B17" i="6"/>
  <c r="B12" i="6"/>
  <c r="B40" i="6"/>
  <c r="B22" i="6"/>
  <c r="B8" i="6"/>
  <c r="B47" i="6"/>
  <c r="B51" i="6"/>
  <c r="B23" i="6"/>
  <c r="B46" i="6"/>
  <c r="B24" i="6"/>
  <c r="B39" i="6"/>
  <c r="B20" i="6"/>
  <c r="B25" i="6"/>
  <c r="B35" i="6"/>
  <c r="B45" i="6"/>
  <c r="B21" i="6"/>
  <c r="B26" i="6"/>
  <c r="B15" i="6"/>
  <c r="B27" i="6"/>
  <c r="B36" i="6"/>
  <c r="B6" i="6"/>
  <c r="J17" i="1"/>
</calcChain>
</file>

<file path=xl/sharedStrings.xml><?xml version="1.0" encoding="utf-8"?>
<sst xmlns="http://schemas.openxmlformats.org/spreadsheetml/2006/main" count="690" uniqueCount="94">
  <si>
    <t>Capacitores</t>
  </si>
  <si>
    <t>Eletrolítico</t>
  </si>
  <si>
    <t>Tipo</t>
  </si>
  <si>
    <t>Cor</t>
  </si>
  <si>
    <t>Qtd</t>
  </si>
  <si>
    <t>Azul</t>
  </si>
  <si>
    <t>Possui Polos?</t>
  </si>
  <si>
    <t>Sim</t>
  </si>
  <si>
    <t>Marca</t>
  </si>
  <si>
    <t>Semilog</t>
  </si>
  <si>
    <t>Tensão (V)</t>
  </si>
  <si>
    <t>Log</t>
  </si>
  <si>
    <t>-</t>
  </si>
  <si>
    <r>
      <t>Capacidade (</t>
    </r>
    <r>
      <rPr>
        <b/>
        <sz val="11"/>
        <color theme="0"/>
        <rFont val="Calibri"/>
        <family val="2"/>
      </rPr>
      <t>µF)</t>
    </r>
  </si>
  <si>
    <t>Marcas de Capacitores</t>
  </si>
  <si>
    <t>Samsung</t>
  </si>
  <si>
    <t>Tipo de Capacitores</t>
  </si>
  <si>
    <t>Poliéster</t>
  </si>
  <si>
    <t>Cerâmico</t>
  </si>
  <si>
    <t>Tântalo</t>
  </si>
  <si>
    <t>Mica</t>
  </si>
  <si>
    <t>SMD</t>
  </si>
  <si>
    <t>Variável</t>
  </si>
  <si>
    <t>Óleo e Papel</t>
  </si>
  <si>
    <t>Descrição</t>
  </si>
  <si>
    <t>Imagem</t>
  </si>
  <si>
    <t>Como de costume, o  terminal positivo é maior que o terminal negativo.</t>
  </si>
  <si>
    <t xml:space="preserve">São usados em circuitos sintonizados, como a sintonia de um rádio. O material dielétrico geralmente é o ar, e as placas são de </t>
  </si>
  <si>
    <t>alumínio ou latão. Não são indicados para trabalhar em altas potencias e tensões elevadas</t>
  </si>
  <si>
    <t>São usados em todo tipo de equipamentos eletrônicos. O material dielétrico destes capacitores pode ser de cerâmica, tântalo,</t>
  </si>
  <si>
    <t xml:space="preserve"> entre outros. Por serem muito pequenos, geralmente são montados nos circuitos por robôs.</t>
  </si>
  <si>
    <t xml:space="preserve">Diferencia-se dos demais por ter o material dielétrico de espessura extremamente pequena com  relação </t>
  </si>
  <si>
    <t>aos outros. Internamente é composto por duas folhas de alumínio, separadas por uma camada de óxido de</t>
  </si>
  <si>
    <t>alumínio, enroladas e embebidas em um eletrólito líquido.</t>
  </si>
  <si>
    <t xml:space="preserve">Formado por várias camadas de poliéster e alumínio, o que o torna bastante compacto. Este capacitor tem </t>
  </si>
  <si>
    <t xml:space="preserve">uma capacidade de autorregeneração, no caso de dano entre as camadas, o material metálico que está </t>
  </si>
  <si>
    <t>sobre a folha de poliéster evapora, por ser muito fino, evitando um curto circuito.</t>
  </si>
  <si>
    <t>para circuitos de alta frequência e corrente contínua, e armazenam pequenas quantidades de cargas elétricas</t>
  </si>
  <si>
    <t xml:space="preserve">das suas faces. Este capacitor geralmente causa certa confusão nos valores descritos sobre  sua superfície. São usados </t>
  </si>
  <si>
    <t xml:space="preserve">Um dos modelos mais conhecidos e usados. Consiste em um disco de cerâmica, com duas fitas metálicas  em cada uma </t>
  </si>
  <si>
    <t xml:space="preserve">São usados para substituir os capacitores de eletrolítico, quando se quer minimizar o circuito. Seu material dielétrico </t>
  </si>
  <si>
    <t>é o Óxido de Tântalo, tem baixa corrente de fuga, e uma vida útil geralmente maior do que de outros eletrolíticos.</t>
  </si>
  <si>
    <t>As placas são de prata, e estas envolvem a folha de mica. Altamente estável quanto à temperatura e possui baixa perda</t>
  </si>
  <si>
    <t xml:space="preserve"> de carga. Muito usado sem circuitos osciladores e circuitos ressonantes</t>
  </si>
  <si>
    <t xml:space="preserve">Não são mais fabricados, e por isso são verdadeiras raridades. Eles eram usados em equipamentos valvulados, </t>
  </si>
  <si>
    <t>onde requer alta isolação. Sua composição era de fitas de alumínio enroladas em um papel embebido por óleo.</t>
  </si>
  <si>
    <t>Resistores</t>
  </si>
  <si>
    <r>
      <t>Resistência (</t>
    </r>
    <r>
      <rPr>
        <b/>
        <sz val="11"/>
        <color theme="0"/>
        <rFont val="Calibri"/>
        <family val="2"/>
      </rPr>
      <t>Ω)</t>
    </r>
  </si>
  <si>
    <t>Verde</t>
  </si>
  <si>
    <t>Laranja</t>
  </si>
  <si>
    <t>1ª Faixa</t>
  </si>
  <si>
    <t>2ª Faixa</t>
  </si>
  <si>
    <t>3ª Faixa</t>
  </si>
  <si>
    <t>Multiplicador</t>
  </si>
  <si>
    <t>Tolerância</t>
  </si>
  <si>
    <t>Preto</t>
  </si>
  <si>
    <t>Marrom</t>
  </si>
  <si>
    <t>Vermelho</t>
  </si>
  <si>
    <t>Amarelo</t>
  </si>
  <si>
    <t>Violeta</t>
  </si>
  <si>
    <t>Cinza</t>
  </si>
  <si>
    <t>Branco</t>
  </si>
  <si>
    <t>Dourado</t>
  </si>
  <si>
    <t>Prateado</t>
  </si>
  <si>
    <t>± 1%</t>
  </si>
  <si>
    <t>± 2%</t>
  </si>
  <si>
    <t>± 5%</t>
  </si>
  <si>
    <t>± 0,5%</t>
  </si>
  <si>
    <t>± 0,25%</t>
  </si>
  <si>
    <t>±  0,1%</t>
  </si>
  <si>
    <t>± 0,05%</t>
  </si>
  <si>
    <t>± 10%</t>
  </si>
  <si>
    <t>4 Faixas</t>
  </si>
  <si>
    <t>5 Faixas</t>
  </si>
  <si>
    <r>
      <t>* Multiplicador (</t>
    </r>
    <r>
      <rPr>
        <b/>
        <sz val="11"/>
        <color theme="1"/>
        <rFont val="Calibri"/>
        <family val="2"/>
      </rPr>
      <t>Ω</t>
    </r>
    <r>
      <rPr>
        <b/>
        <sz val="9.9"/>
        <color theme="1"/>
        <rFont val="Calibri"/>
        <family val="2"/>
      </rPr>
      <t>)</t>
    </r>
  </si>
  <si>
    <t>Phillips</t>
  </si>
  <si>
    <t>*</t>
  </si>
  <si>
    <t>Siemens</t>
  </si>
  <si>
    <t>Nichicon</t>
  </si>
  <si>
    <t>Azul Claro</t>
  </si>
  <si>
    <t>Tipos</t>
  </si>
  <si>
    <t>Cores</t>
  </si>
  <si>
    <t>BTV</t>
  </si>
  <si>
    <t>Sem Marca</t>
  </si>
  <si>
    <t>Samwha</t>
  </si>
  <si>
    <t>Não</t>
  </si>
  <si>
    <t>Não sei</t>
  </si>
  <si>
    <t>Bege</t>
  </si>
  <si>
    <t>Quantidade</t>
  </si>
  <si>
    <t>Leds</t>
  </si>
  <si>
    <t>Grande</t>
  </si>
  <si>
    <t>Pequeno</t>
  </si>
  <si>
    <t>Quadrado</t>
  </si>
  <si>
    <t>Fino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</si>
</sst>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</font>
    <font>
      <b/>
      <sz val="12"/>
      <color rgb="FF000000"/>
      <name val="Calibri"/>
      <family val="2"/>
    </font>
    <font>
      <b/>
      <sz val="9.9"/>
      <color theme="1"/>
      <name val="Calibri"/>
      <family val="2"/>
    </font>
    <font>
      <sz val="11"/>
      <color theme="0" tint="-0.1499984740745262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theme="0" tint="-0.14999847407452621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FF"/>
        <bgColor theme="0" tint="-0.14999847407452621"/>
      </patternFill>
    </fill>
    <fill>
      <patternFill patternType="solid">
        <fgColor rgb="FFCC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/>
      <right/>
      <top/>
      <bottom style="thin">
        <color rgb="FF000000"/>
      </bottom>
      <diagonal/>
    </border>
    <border>
      <left style="thin">
        <color rgb="FF4472C4"/>
      </left>
      <right/>
      <top style="thin">
        <color theme="4"/>
      </top>
      <bottom style="thin">
        <color rgb="FF4472C4"/>
      </bottom>
      <diagonal/>
    </border>
    <border>
      <left/>
      <right/>
      <top style="thin">
        <color theme="4"/>
      </top>
      <bottom style="thin">
        <color rgb="FF4472C4"/>
      </bottom>
      <diagonal/>
    </border>
    <border>
      <left/>
      <right style="thin">
        <color theme="4"/>
      </right>
      <top style="thin">
        <color theme="4"/>
      </top>
      <bottom style="thin">
        <color rgb="FF4472C4"/>
      </bottom>
      <diagonal/>
    </border>
    <border>
      <left style="thin">
        <color theme="4"/>
      </left>
      <right/>
      <top style="thin">
        <color theme="1"/>
      </top>
      <bottom style="thin">
        <color theme="1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/>
      <diagonal/>
    </border>
    <border>
      <left style="thin">
        <color theme="4"/>
      </left>
      <right/>
      <top/>
      <bottom style="thin">
        <color theme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8" xfId="0" applyFont="1" applyBorder="1" applyAlignment="1">
      <alignment horizontal="left"/>
    </xf>
    <xf numFmtId="0" fontId="8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0" borderId="8" xfId="0" applyFont="1" applyBorder="1"/>
    <xf numFmtId="0" fontId="8" fillId="7" borderId="8" xfId="0" applyFont="1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3" fillId="0" borderId="0" xfId="0" applyFont="1"/>
    <xf numFmtId="0" fontId="10" fillId="8" borderId="0" xfId="0" applyFont="1" applyFill="1" applyAlignment="1">
      <alignment horizontal="center" vertical="center"/>
    </xf>
    <xf numFmtId="0" fontId="10" fillId="8" borderId="0" xfId="0" applyFont="1" applyFill="1"/>
    <xf numFmtId="0" fontId="2" fillId="0" borderId="11" xfId="0" applyFont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9" fillId="19" borderId="0" xfId="0" applyFont="1" applyFill="1" applyAlignment="1">
      <alignment horizontal="center" vertical="center"/>
    </xf>
    <xf numFmtId="0" fontId="9" fillId="20" borderId="0" xfId="0" applyFont="1" applyFill="1" applyAlignment="1">
      <alignment horizontal="center" vertical="center"/>
    </xf>
    <xf numFmtId="0" fontId="9" fillId="2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/>
    </xf>
    <xf numFmtId="0" fontId="12" fillId="10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/>
    </xf>
    <xf numFmtId="0" fontId="13" fillId="1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/>
    </xf>
    <xf numFmtId="0" fontId="13" fillId="1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13" fillId="18" borderId="0" xfId="0" applyFont="1" applyFill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13" fillId="21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0" xfId="0" applyFont="1"/>
    <xf numFmtId="0" fontId="0" fillId="13" borderId="0" xfId="0" applyFill="1"/>
    <xf numFmtId="164" fontId="0" fillId="0" borderId="5" xfId="0" applyNumberFormat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8" borderId="0" xfId="0" applyFill="1"/>
    <xf numFmtId="165" fontId="0" fillId="0" borderId="3" xfId="0" applyNumberFormat="1" applyBorder="1" applyAlignment="1">
      <alignment horizontal="center" vertical="center"/>
    </xf>
    <xf numFmtId="165" fontId="0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0" fontId="9" fillId="23" borderId="0" xfId="0" applyFont="1" applyFill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</cellXfs>
  <cellStyles count="1">
    <cellStyle name="Normal" xfId="0" builtinId="0"/>
  </cellStyles>
  <dxfs count="90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theme="7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CC00FF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rgb="FF4472C4"/>
        </left>
        <top style="thin">
          <color rgb="FF4472C4"/>
        </top>
        <bottom style="thin">
          <color rgb="FF4472C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theme="7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CC00FF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border outline="0">
        <left style="thin">
          <color rgb="FF4472C4"/>
        </left>
        <top style="thin">
          <color rgb="FF4472C4"/>
        </top>
        <bottom style="thin">
          <color rgb="FF4472C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bgColor theme="0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00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13" Type="http://schemas.openxmlformats.org/officeDocument/2006/relationships/image" Target="../media/image7.png"/><Relationship Id="rId18" Type="http://schemas.openxmlformats.org/officeDocument/2006/relationships/image" Target="../media/image10.jpe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microsoft.com/office/2007/relationships/hdphoto" Target="../media/hdphoto6.wdp"/><Relationship Id="rId17" Type="http://schemas.openxmlformats.org/officeDocument/2006/relationships/image" Target="../media/image9.jpeg"/><Relationship Id="rId2" Type="http://schemas.microsoft.com/office/2007/relationships/hdphoto" Target="../media/hdphoto1.wdp"/><Relationship Id="rId16" Type="http://schemas.microsoft.com/office/2007/relationships/hdphoto" Target="../media/hdphoto8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10" Type="http://schemas.microsoft.com/office/2007/relationships/hdphoto" Target="../media/hdphoto5.wdp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4" Type="http://schemas.microsoft.com/office/2007/relationships/hdphoto" Target="../media/hdphoto7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07/relationships/hdphoto" Target="../media/hdphoto9.wdp"/><Relationship Id="rId1" Type="http://schemas.openxmlformats.org/officeDocument/2006/relationships/image" Target="../media/image11.png"/><Relationship Id="rId4" Type="http://schemas.microsoft.com/office/2007/relationships/hdphoto" Target="../media/hdphoto10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349437</xdr:colOff>
      <xdr:row>4</xdr:row>
      <xdr:rowOff>1</xdr:rowOff>
    </xdr:from>
    <xdr:to>
      <xdr:col>13</xdr:col>
      <xdr:colOff>1035787</xdr:colOff>
      <xdr:row>7</xdr:row>
      <xdr:rowOff>0</xdr:rowOff>
    </xdr:to>
    <xdr:pic>
      <xdr:nvPicPr>
        <xdr:cNvPr id="164" name="Imagem 163">
          <a:extLst>
            <a:ext uri="{FF2B5EF4-FFF2-40B4-BE49-F238E27FC236}">
              <a16:creationId xmlns:a16="http://schemas.microsoft.com/office/drawing/2014/main" id="{EB39B80F-A82C-10AF-D45E-3D9812D3F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901" b="92670" l="6186" r="92784">
                      <a14:foregroundMark x1="73711" y1="9424" x2="91237" y2="31937"/>
                      <a14:foregroundMark x1="90722" y1="30890" x2="92784" y2="33508"/>
                      <a14:foregroundMark x1="39175" y1="49738" x2="6186" y2="78010"/>
                      <a14:foregroundMark x1="51031" y1="58639" x2="7216" y2="92670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422550" y="1035171"/>
          <a:ext cx="686350" cy="675736"/>
        </a:xfrm>
        <a:prstGeom prst="rect">
          <a:avLst/>
        </a:prstGeom>
      </xdr:spPr>
    </xdr:pic>
    <xdr:clientData/>
  </xdr:twoCellAnchor>
  <xdr:twoCellAnchor editAs="oneCell">
    <xdr:from>
      <xdr:col>13</xdr:col>
      <xdr:colOff>275168</xdr:colOff>
      <xdr:row>7</xdr:row>
      <xdr:rowOff>24695</xdr:rowOff>
    </xdr:from>
    <xdr:to>
      <xdr:col>13</xdr:col>
      <xdr:colOff>1030111</xdr:colOff>
      <xdr:row>9</xdr:row>
      <xdr:rowOff>209315</xdr:rowOff>
    </xdr:to>
    <xdr:pic>
      <xdr:nvPicPr>
        <xdr:cNvPr id="165" name="Imagem 164">
          <a:extLst>
            <a:ext uri="{FF2B5EF4-FFF2-40B4-BE49-F238E27FC236}">
              <a16:creationId xmlns:a16="http://schemas.microsoft.com/office/drawing/2014/main" id="{26BA1250-60F4-C406-514B-E6B387CA2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4706" b="95294" l="4902" r="97059">
                      <a14:foregroundMark x1="41176" y1="14706" x2="11765" y2="47647"/>
                      <a14:foregroundMark x1="10784" y1="37059" x2="13725" y2="46471"/>
                      <a14:foregroundMark x1="7353" y1="37059" x2="7353" y2="37059"/>
                      <a14:foregroundMark x1="6863" y1="37059" x2="4902" y2="35882"/>
                      <a14:foregroundMark x1="9804" y1="42353" x2="13235" y2="28235"/>
                      <a14:foregroundMark x1="37255" y1="15882" x2="40196" y2="5882"/>
                      <a14:foregroundMark x1="55392" y1="24118" x2="62745" y2="30000"/>
                      <a14:foregroundMark x1="64706" y1="34118" x2="97059" y2="64706"/>
                      <a14:foregroundMark x1="34314" y1="68235" x2="55392" y2="9529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342557" y="1725084"/>
          <a:ext cx="754943" cy="629120"/>
        </a:xfrm>
        <a:prstGeom prst="rect">
          <a:avLst/>
        </a:prstGeom>
      </xdr:spPr>
    </xdr:pic>
    <xdr:clientData/>
  </xdr:twoCellAnchor>
  <xdr:twoCellAnchor editAs="oneCell">
    <xdr:from>
      <xdr:col>13</xdr:col>
      <xdr:colOff>324556</xdr:colOff>
      <xdr:row>10</xdr:row>
      <xdr:rowOff>7406</xdr:rowOff>
    </xdr:from>
    <xdr:to>
      <xdr:col>13</xdr:col>
      <xdr:colOff>970139</xdr:colOff>
      <xdr:row>13</xdr:row>
      <xdr:rowOff>3042</xdr:rowOff>
    </xdr:to>
    <xdr:pic>
      <xdr:nvPicPr>
        <xdr:cNvPr id="166" name="Imagem 165">
          <a:extLst>
            <a:ext uri="{FF2B5EF4-FFF2-40B4-BE49-F238E27FC236}">
              <a16:creationId xmlns:a16="http://schemas.microsoft.com/office/drawing/2014/main" id="{1A23270B-DA08-9357-B3EC-BA359BAC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2703" b="89730" l="9341" r="96703">
                      <a14:foregroundMark x1="64835" y1="14595" x2="91758" y2="26486"/>
                      <a14:foregroundMark x1="88462" y1="34054" x2="67582" y2="8108"/>
                      <a14:foregroundMark x1="86813" y1="20000" x2="91758" y2="29189"/>
                      <a14:foregroundMark x1="90110" y1="18919" x2="92857" y2="24324"/>
                      <a14:foregroundMark x1="91209" y1="17838" x2="92857" y2="24324"/>
                      <a14:foregroundMark x1="90110" y1="18378" x2="76374" y2="2703"/>
                      <a14:foregroundMark x1="90659" y1="17838" x2="96703" y2="2378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391945" y="2374545"/>
          <a:ext cx="645583" cy="656225"/>
        </a:xfrm>
        <a:prstGeom prst="rect">
          <a:avLst/>
        </a:prstGeom>
      </xdr:spPr>
    </xdr:pic>
    <xdr:clientData/>
  </xdr:twoCellAnchor>
  <xdr:twoCellAnchor editAs="oneCell">
    <xdr:from>
      <xdr:col>13</xdr:col>
      <xdr:colOff>155863</xdr:colOff>
      <xdr:row>13</xdr:row>
      <xdr:rowOff>13854</xdr:rowOff>
    </xdr:from>
    <xdr:to>
      <xdr:col>13</xdr:col>
      <xdr:colOff>1108626</xdr:colOff>
      <xdr:row>15</xdr:row>
      <xdr:rowOff>204354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id="{D9065722-4A9B-6282-7563-5B8FE4B72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9434" b="94969" l="7950" r="96653">
                      <a14:foregroundMark x1="11297" y1="14465" x2="10460" y2="27044"/>
                      <a14:foregroundMark x1="46862" y1="42138" x2="42259" y2="93711"/>
                      <a14:foregroundMark x1="54812" y1="44654" x2="61506" y2="95597"/>
                      <a14:foregroundMark x1="7950" y1="38365" x2="9623" y2="93711"/>
                      <a14:foregroundMark x1="16318" y1="43396" x2="28452" y2="93082"/>
                      <a14:foregroundMark x1="86192" y1="41509" x2="89958" y2="21384"/>
                      <a14:foregroundMark x1="90795" y1="21384" x2="93724" y2="38994"/>
                      <a14:foregroundMark x1="84937" y1="50314" x2="76569" y2="87421"/>
                      <a14:foregroundMark x1="92887" y1="56604" x2="96653" y2="89308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210808" y="3041072"/>
          <a:ext cx="952763" cy="633846"/>
        </a:xfrm>
        <a:prstGeom prst="rect">
          <a:avLst/>
        </a:prstGeom>
      </xdr:spPr>
    </xdr:pic>
    <xdr:clientData/>
  </xdr:twoCellAnchor>
  <xdr:twoCellAnchor editAs="oneCell">
    <xdr:from>
      <xdr:col>13</xdr:col>
      <xdr:colOff>249383</xdr:colOff>
      <xdr:row>16</xdr:row>
      <xdr:rowOff>15580</xdr:rowOff>
    </xdr:from>
    <xdr:to>
      <xdr:col>13</xdr:col>
      <xdr:colOff>973282</xdr:colOff>
      <xdr:row>19</xdr:row>
      <xdr:rowOff>1754</xdr:rowOff>
    </xdr:to>
    <xdr:pic>
      <xdr:nvPicPr>
        <xdr:cNvPr id="168" name="Imagem 167">
          <a:extLst>
            <a:ext uri="{FF2B5EF4-FFF2-40B4-BE49-F238E27FC236}">
              <a16:creationId xmlns:a16="http://schemas.microsoft.com/office/drawing/2014/main" id="{CFF8A792-8A7A-673E-5440-CBF99EF30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6311" b="91262" l="4367" r="92140">
                      <a14:foregroundMark x1="45415" y1="11650" x2="46725" y2="6311"/>
                      <a14:foregroundMark x1="78603" y1="43689" x2="80349" y2="47087"/>
                      <a14:foregroundMark x1="78166" y1="43204" x2="93013" y2="50971"/>
                      <a14:foregroundMark x1="92140" y1="47573" x2="92140" y2="47573"/>
                      <a14:foregroundMark x1="38865" y1="20388" x2="4367" y2="67476"/>
                      <a14:foregroundMark x1="65066" y1="68447" x2="23581" y2="91262"/>
                      <a14:foregroundMark x1="70742" y1="50485" x2="58079" y2="54369"/>
                      <a14:foregroundMark x1="79039" y1="56796" x2="68122" y2="67961"/>
                      <a14:foregroundMark x1="58515" y1="54854" x2="13100" y2="8009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304328" y="3707816"/>
          <a:ext cx="723899" cy="651193"/>
        </a:xfrm>
        <a:prstGeom prst="rect">
          <a:avLst/>
        </a:prstGeom>
      </xdr:spPr>
    </xdr:pic>
    <xdr:clientData/>
  </xdr:twoCellAnchor>
  <xdr:twoCellAnchor editAs="oneCell">
    <xdr:from>
      <xdr:col>13</xdr:col>
      <xdr:colOff>272473</xdr:colOff>
      <xdr:row>19</xdr:row>
      <xdr:rowOff>57792</xdr:rowOff>
    </xdr:from>
    <xdr:to>
      <xdr:col>13</xdr:col>
      <xdr:colOff>1131455</xdr:colOff>
      <xdr:row>22</xdr:row>
      <xdr:rowOff>39799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id="{499E6022-7504-8B26-700F-CB532869A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9483" b="88793" l="5195" r="90909">
                      <a14:foregroundMark x1="24026" y1="36207" x2="24675" y2="49138"/>
                      <a14:foregroundMark x1="11039" y1="38793" x2="5844" y2="37069"/>
                      <a14:foregroundMark x1="59091" y1="28448" x2="85065" y2="43103"/>
                      <a14:foregroundMark x1="82468" y1="32759" x2="90909" y2="38793"/>
                      <a14:foregroundMark x1="66234" y1="11207" x2="64935" y2="1034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335629" y="4392725"/>
          <a:ext cx="858982" cy="642407"/>
        </a:xfrm>
        <a:prstGeom prst="rect">
          <a:avLst/>
        </a:prstGeom>
      </xdr:spPr>
    </xdr:pic>
    <xdr:clientData/>
  </xdr:twoCellAnchor>
  <xdr:twoCellAnchor editAs="oneCell">
    <xdr:from>
      <xdr:col>13</xdr:col>
      <xdr:colOff>346363</xdr:colOff>
      <xdr:row>22</xdr:row>
      <xdr:rowOff>10391</xdr:rowOff>
    </xdr:from>
    <xdr:to>
      <xdr:col>13</xdr:col>
      <xdr:colOff>910936</xdr:colOff>
      <xdr:row>24</xdr:row>
      <xdr:rowOff>184548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BE07AA8C-3D58-C613-529D-9E0E8758D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6286" b="94286" l="5625" r="90625">
                      <a14:foregroundMark x1="30625" y1="68571" x2="13125" y2="43429"/>
                      <a14:foregroundMark x1="13125" y1="37143" x2="8750" y2="42857"/>
                      <a14:foregroundMark x1="8750" y1="44571" x2="35625" y2="73143"/>
                      <a14:foregroundMark x1="39375" y1="80000" x2="15000" y2="56571"/>
                      <a14:foregroundMark x1="39375" y1="77714" x2="9375" y2="50857"/>
                      <a14:foregroundMark x1="30000" y1="74286" x2="13125" y2="62286"/>
                      <a14:foregroundMark x1="22500" y1="65714" x2="7500" y2="41143"/>
                      <a14:foregroundMark x1="9375" y1="39429" x2="13750" y2="30857"/>
                      <a14:foregroundMark x1="51875" y1="10857" x2="46250" y2="6857"/>
                      <a14:foregroundMark x1="85000" y1="66286" x2="90625" y2="69714"/>
                      <a14:foregroundMark x1="51250" y1="89714" x2="60000" y2="94286"/>
                      <a14:foregroundMark x1="15625" y1="47429" x2="11875" y2="68571"/>
                      <a14:foregroundMark x1="10625" y1="50286" x2="13750" y2="64000"/>
                      <a14:foregroundMark x1="11875" y1="57143" x2="5625" y2="56571"/>
                      <a14:foregroundMark x1="13125" y1="56571" x2="33125" y2="82286"/>
                      <a14:foregroundMark x1="30217" y1="80101" x2="31875" y2="81143"/>
                      <a14:foregroundMark x1="21875" y1="74857" x2="30117" y2="80038"/>
                      <a14:foregroundMark x1="19375" y1="63429" x2="28125" y2="78857"/>
                      <a14:foregroundMark x1="28648" y1="82354" x2="29375" y2="82857"/>
                      <a14:foregroundMark x1="8750" y1="68571" x2="25305" y2="80038"/>
                      <a14:backgroundMark x1="7500" y1="85143" x2="22500" y2="96000"/>
                      <a14:backgroundMark x1="23125" y1="95429" x2="31250" y2="98286"/>
                      <a14:backgroundMark x1="11875" y1="90286" x2="23125" y2="90286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401308" y="5032664"/>
          <a:ext cx="564573" cy="617502"/>
        </a:xfrm>
        <a:prstGeom prst="rect">
          <a:avLst/>
        </a:prstGeom>
      </xdr:spPr>
    </xdr:pic>
    <xdr:clientData/>
  </xdr:twoCellAnchor>
  <xdr:twoCellAnchor editAs="oneCell">
    <xdr:from>
      <xdr:col>12</xdr:col>
      <xdr:colOff>6097377</xdr:colOff>
      <xdr:row>25</xdr:row>
      <xdr:rowOff>110670</xdr:rowOff>
    </xdr:from>
    <xdr:to>
      <xdr:col>13</xdr:col>
      <xdr:colOff>1314225</xdr:colOff>
      <xdr:row>27</xdr:row>
      <xdr:rowOff>76033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id="{1309EB0B-4AF2-DC8C-DF4C-1BD9DC0C1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8283" r="96768">
                      <a14:foregroundMark x1="15960" y1="40667" x2="15960" y2="40667"/>
                      <a14:foregroundMark x1="15152" y1="29333" x2="14949" y2="52000"/>
                      <a14:foregroundMark x1="16162" y1="37333" x2="12121" y2="50667"/>
                      <a14:foregroundMark x1="16364" y1="31333" x2="24040" y2="31333"/>
                      <a14:foregroundMark x1="20000" y1="31333" x2="9495" y2="31333"/>
                      <a14:foregroundMark x1="13131" y1="28667" x2="8283" y2="25333"/>
                      <a14:foregroundMark x1="16970" y1="30667" x2="10707" y2="61333"/>
                      <a14:foregroundMark x1="14343" y1="41333" x2="12121" y2="43333"/>
                      <a14:foregroundMark x1="90101" y1="44000" x2="90101" y2="56667"/>
                      <a14:foregroundMark x1="91919" y1="52000" x2="83030" y2="24667"/>
                      <a14:foregroundMark x1="85859" y1="20667" x2="92929" y2="49333"/>
                      <a14:foregroundMark x1="90909" y1="50667" x2="87273" y2="24000"/>
                      <a14:foregroundMark x1="88081" y1="27333" x2="96768" y2="27333"/>
                      <a14:foregroundMark x1="96364" y1="28000" x2="96364" y2="46000"/>
                      <a14:foregroundMark x1="96566" y1="44667" x2="96566" y2="44667"/>
                      <a14:foregroundMark x1="54141" y1="52667" x2="66061" y2="85333"/>
                      <a14:foregroundMark x1="67071" y1="77333" x2="65455" y2="75333"/>
                      <a14:foregroundMark x1="13939" y1="50667" x2="8687" y2="58667"/>
                      <a14:foregroundMark x1="14141" y1="58667" x2="8283" y2="46000"/>
                      <a14:foregroundMark x1="15152" y1="56000" x2="18586" y2="61333"/>
                      <a14:foregroundMark x1="31919" y1="35333" x2="33939" y2="5733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784437" y="5765995"/>
          <a:ext cx="1349571" cy="406038"/>
        </a:xfrm>
        <a:prstGeom prst="rect">
          <a:avLst/>
        </a:prstGeom>
      </xdr:spPr>
    </xdr:pic>
    <xdr:clientData/>
  </xdr:twoCellAnchor>
  <xdr:twoCellAnchor>
    <xdr:from>
      <xdr:col>7</xdr:col>
      <xdr:colOff>22580</xdr:colOff>
      <xdr:row>6</xdr:row>
      <xdr:rowOff>208213</xdr:rowOff>
    </xdr:from>
    <xdr:to>
      <xdr:col>7</xdr:col>
      <xdr:colOff>205343</xdr:colOff>
      <xdr:row>7</xdr:row>
      <xdr:rowOff>210861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3764400C-885F-4D41-8F4A-F4CA160D8DB7}"/>
            </a:ext>
          </a:extLst>
        </xdr:cNvPr>
        <xdr:cNvGrpSpPr/>
      </xdr:nvGrpSpPr>
      <xdr:grpSpPr>
        <a:xfrm>
          <a:off x="6379010" y="1683985"/>
          <a:ext cx="182763" cy="224496"/>
          <a:chOff x="6572251" y="7468545"/>
          <a:chExt cx="223837" cy="280178"/>
        </a:xfrm>
      </xdr:grpSpPr>
      <xdr:sp macro="" textlink="">
        <xdr:nvSpPr>
          <xdr:cNvPr id="78" name="Elipse 77">
            <a:extLst>
              <a:ext uri="{FF2B5EF4-FFF2-40B4-BE49-F238E27FC236}">
                <a16:creationId xmlns:a16="http://schemas.microsoft.com/office/drawing/2014/main" id="{6A287520-9FB8-3F79-0DB5-ECECC96E590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EF8B45CE-325D-E19C-1D03-7356AE4BD9D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</xdr:row>
      <xdr:rowOff>216783</xdr:rowOff>
    </xdr:from>
    <xdr:to>
      <xdr:col>7</xdr:col>
      <xdr:colOff>725408</xdr:colOff>
      <xdr:row>7</xdr:row>
      <xdr:rowOff>220278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76C7E4C9-7EB6-4EBA-B515-B7CAB813CA14}"/>
            </a:ext>
          </a:extLst>
        </xdr:cNvPr>
        <xdr:cNvGrpSpPr/>
      </xdr:nvGrpSpPr>
      <xdr:grpSpPr>
        <a:xfrm>
          <a:off x="6899075" y="1692555"/>
          <a:ext cx="182763" cy="225343"/>
          <a:chOff x="6572251" y="7477594"/>
          <a:chExt cx="223837" cy="280178"/>
        </a:xfrm>
      </xdr:grpSpPr>
      <xdr:sp macro="" textlink="">
        <xdr:nvSpPr>
          <xdr:cNvPr id="81" name="Elipse 80">
            <a:extLst>
              <a:ext uri="{FF2B5EF4-FFF2-40B4-BE49-F238E27FC236}">
                <a16:creationId xmlns:a16="http://schemas.microsoft.com/office/drawing/2014/main" id="{B1BF45D4-0C04-8251-D67D-E811C0B1CD1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C65CB452-ADCD-47CD-D443-7569A476256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</xdr:row>
      <xdr:rowOff>208213</xdr:rowOff>
    </xdr:from>
    <xdr:to>
      <xdr:col>7</xdr:col>
      <xdr:colOff>205343</xdr:colOff>
      <xdr:row>8</xdr:row>
      <xdr:rowOff>210861</xdr:rowOff>
    </xdr:to>
    <xdr:grpSp>
      <xdr:nvGrpSpPr>
        <xdr:cNvPr id="83" name="Agrupar 82">
          <a:extLst>
            <a:ext uri="{FF2B5EF4-FFF2-40B4-BE49-F238E27FC236}">
              <a16:creationId xmlns:a16="http://schemas.microsoft.com/office/drawing/2014/main" id="{3F0E19FD-C0F0-47C6-B68D-40D2103ED965}"/>
            </a:ext>
          </a:extLst>
        </xdr:cNvPr>
        <xdr:cNvGrpSpPr/>
      </xdr:nvGrpSpPr>
      <xdr:grpSpPr>
        <a:xfrm>
          <a:off x="6379010" y="1905833"/>
          <a:ext cx="182763" cy="224496"/>
          <a:chOff x="6572251" y="7468545"/>
          <a:chExt cx="223837" cy="280178"/>
        </a:xfrm>
      </xdr:grpSpPr>
      <xdr:sp macro="" textlink="">
        <xdr:nvSpPr>
          <xdr:cNvPr id="84" name="Elipse 83">
            <a:extLst>
              <a:ext uri="{FF2B5EF4-FFF2-40B4-BE49-F238E27FC236}">
                <a16:creationId xmlns:a16="http://schemas.microsoft.com/office/drawing/2014/main" id="{723E60B6-F3B8-E086-493A-09F0055C637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C143FABA-95D2-B26F-B6AD-1323CF1A9CA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</xdr:row>
      <xdr:rowOff>216783</xdr:rowOff>
    </xdr:from>
    <xdr:to>
      <xdr:col>7</xdr:col>
      <xdr:colOff>725408</xdr:colOff>
      <xdr:row>8</xdr:row>
      <xdr:rowOff>220278</xdr:rowOff>
    </xdr:to>
    <xdr:grpSp>
      <xdr:nvGrpSpPr>
        <xdr:cNvPr id="86" name="Agrupar 85">
          <a:extLst>
            <a:ext uri="{FF2B5EF4-FFF2-40B4-BE49-F238E27FC236}">
              <a16:creationId xmlns:a16="http://schemas.microsoft.com/office/drawing/2014/main" id="{6888E4F4-245D-4AF8-ACC9-DA61D283E172}"/>
            </a:ext>
          </a:extLst>
        </xdr:cNvPr>
        <xdr:cNvGrpSpPr/>
      </xdr:nvGrpSpPr>
      <xdr:grpSpPr>
        <a:xfrm>
          <a:off x="6899075" y="1914403"/>
          <a:ext cx="182763" cy="225343"/>
          <a:chOff x="6572251" y="7477594"/>
          <a:chExt cx="223837" cy="280178"/>
        </a:xfrm>
      </xdr:grpSpPr>
      <xdr:sp macro="" textlink="">
        <xdr:nvSpPr>
          <xdr:cNvPr id="87" name="Elipse 86">
            <a:extLst>
              <a:ext uri="{FF2B5EF4-FFF2-40B4-BE49-F238E27FC236}">
                <a16:creationId xmlns:a16="http://schemas.microsoft.com/office/drawing/2014/main" id="{6174A566-24FE-6FF4-0917-C9067573F34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88" name="CaixaDeTexto 87">
            <a:extLst>
              <a:ext uri="{FF2B5EF4-FFF2-40B4-BE49-F238E27FC236}">
                <a16:creationId xmlns:a16="http://schemas.microsoft.com/office/drawing/2014/main" id="{E4654A25-5ADC-37BE-DD48-0EC8AE40932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</xdr:row>
      <xdr:rowOff>208213</xdr:rowOff>
    </xdr:from>
    <xdr:to>
      <xdr:col>7</xdr:col>
      <xdr:colOff>205343</xdr:colOff>
      <xdr:row>9</xdr:row>
      <xdr:rowOff>210861</xdr:rowOff>
    </xdr:to>
    <xdr:grpSp>
      <xdr:nvGrpSpPr>
        <xdr:cNvPr id="89" name="Agrupar 88">
          <a:extLst>
            <a:ext uri="{FF2B5EF4-FFF2-40B4-BE49-F238E27FC236}">
              <a16:creationId xmlns:a16="http://schemas.microsoft.com/office/drawing/2014/main" id="{A3C1FE79-D3E5-497A-B623-EDB40D9AF51C}"/>
            </a:ext>
          </a:extLst>
        </xdr:cNvPr>
        <xdr:cNvGrpSpPr/>
      </xdr:nvGrpSpPr>
      <xdr:grpSpPr>
        <a:xfrm>
          <a:off x="6379010" y="2127681"/>
          <a:ext cx="182763" cy="224496"/>
          <a:chOff x="6572251" y="7468545"/>
          <a:chExt cx="223837" cy="280178"/>
        </a:xfrm>
      </xdr:grpSpPr>
      <xdr:sp macro="" textlink="">
        <xdr:nvSpPr>
          <xdr:cNvPr id="90" name="Elipse 89">
            <a:extLst>
              <a:ext uri="{FF2B5EF4-FFF2-40B4-BE49-F238E27FC236}">
                <a16:creationId xmlns:a16="http://schemas.microsoft.com/office/drawing/2014/main" id="{E3384A70-58AC-E284-CA9D-BBD1FDC8B8A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DA3D9473-D02A-AA1A-4160-D48609106AE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</xdr:row>
      <xdr:rowOff>216783</xdr:rowOff>
    </xdr:from>
    <xdr:to>
      <xdr:col>7</xdr:col>
      <xdr:colOff>725408</xdr:colOff>
      <xdr:row>9</xdr:row>
      <xdr:rowOff>220278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A673D8CF-EA58-4D20-B80C-5126A8EFE30C}"/>
            </a:ext>
          </a:extLst>
        </xdr:cNvPr>
        <xdr:cNvGrpSpPr/>
      </xdr:nvGrpSpPr>
      <xdr:grpSpPr>
        <a:xfrm>
          <a:off x="6899075" y="2136251"/>
          <a:ext cx="182763" cy="225343"/>
          <a:chOff x="6572251" y="7477594"/>
          <a:chExt cx="223837" cy="280178"/>
        </a:xfrm>
      </xdr:grpSpPr>
      <xdr:sp macro="" textlink="">
        <xdr:nvSpPr>
          <xdr:cNvPr id="93" name="Elipse 92">
            <a:extLst>
              <a:ext uri="{FF2B5EF4-FFF2-40B4-BE49-F238E27FC236}">
                <a16:creationId xmlns:a16="http://schemas.microsoft.com/office/drawing/2014/main" id="{8A49B5C3-9737-ACC5-0A26-5E6BD9D40C6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4" name="CaixaDeTexto 93">
            <a:extLst>
              <a:ext uri="{FF2B5EF4-FFF2-40B4-BE49-F238E27FC236}">
                <a16:creationId xmlns:a16="http://schemas.microsoft.com/office/drawing/2014/main" id="{B18B6E00-C977-AE10-E4E0-86966366130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</xdr:row>
      <xdr:rowOff>208213</xdr:rowOff>
    </xdr:from>
    <xdr:to>
      <xdr:col>7</xdr:col>
      <xdr:colOff>205343</xdr:colOff>
      <xdr:row>6</xdr:row>
      <xdr:rowOff>210861</xdr:rowOff>
    </xdr:to>
    <xdr:grpSp>
      <xdr:nvGrpSpPr>
        <xdr:cNvPr id="95" name="Agrupar 94">
          <a:extLst>
            <a:ext uri="{FF2B5EF4-FFF2-40B4-BE49-F238E27FC236}">
              <a16:creationId xmlns:a16="http://schemas.microsoft.com/office/drawing/2014/main" id="{BD9147D9-9705-4156-91DC-6F7A2D12EB59}"/>
            </a:ext>
          </a:extLst>
        </xdr:cNvPr>
        <xdr:cNvGrpSpPr/>
      </xdr:nvGrpSpPr>
      <xdr:grpSpPr>
        <a:xfrm>
          <a:off x="6379010" y="1462137"/>
          <a:ext cx="182763" cy="224496"/>
          <a:chOff x="6572251" y="7468545"/>
          <a:chExt cx="223837" cy="280178"/>
        </a:xfrm>
      </xdr:grpSpPr>
      <xdr:sp macro="" textlink="">
        <xdr:nvSpPr>
          <xdr:cNvPr id="96" name="Elipse 95">
            <a:extLst>
              <a:ext uri="{FF2B5EF4-FFF2-40B4-BE49-F238E27FC236}">
                <a16:creationId xmlns:a16="http://schemas.microsoft.com/office/drawing/2014/main" id="{24F96059-F2FF-690E-BE40-4AFBF72E9E8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492B40FD-4DAF-4963-9AE5-40EA369B48B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</xdr:row>
      <xdr:rowOff>216783</xdr:rowOff>
    </xdr:from>
    <xdr:to>
      <xdr:col>7</xdr:col>
      <xdr:colOff>725408</xdr:colOff>
      <xdr:row>6</xdr:row>
      <xdr:rowOff>220278</xdr:rowOff>
    </xdr:to>
    <xdr:grpSp>
      <xdr:nvGrpSpPr>
        <xdr:cNvPr id="98" name="Agrupar 97">
          <a:extLst>
            <a:ext uri="{FF2B5EF4-FFF2-40B4-BE49-F238E27FC236}">
              <a16:creationId xmlns:a16="http://schemas.microsoft.com/office/drawing/2014/main" id="{DC9EB8F3-A065-4D2D-8AF2-8EE47521E006}"/>
            </a:ext>
          </a:extLst>
        </xdr:cNvPr>
        <xdr:cNvGrpSpPr/>
      </xdr:nvGrpSpPr>
      <xdr:grpSpPr>
        <a:xfrm>
          <a:off x="6899075" y="1470707"/>
          <a:ext cx="182763" cy="225343"/>
          <a:chOff x="6572251" y="7477594"/>
          <a:chExt cx="223837" cy="280178"/>
        </a:xfrm>
      </xdr:grpSpPr>
      <xdr:sp macro="" textlink="">
        <xdr:nvSpPr>
          <xdr:cNvPr id="99" name="Elipse 98">
            <a:extLst>
              <a:ext uri="{FF2B5EF4-FFF2-40B4-BE49-F238E27FC236}">
                <a16:creationId xmlns:a16="http://schemas.microsoft.com/office/drawing/2014/main" id="{E21608AE-40EE-CCF0-B98D-E5849F75427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BF48CCCC-7F2D-3097-DA35-78A9A096B9C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</xdr:row>
      <xdr:rowOff>208213</xdr:rowOff>
    </xdr:from>
    <xdr:to>
      <xdr:col>7</xdr:col>
      <xdr:colOff>205343</xdr:colOff>
      <xdr:row>12</xdr:row>
      <xdr:rowOff>210861</xdr:rowOff>
    </xdr:to>
    <xdr:grpSp>
      <xdr:nvGrpSpPr>
        <xdr:cNvPr id="144" name="Agrupar 143">
          <a:extLst>
            <a:ext uri="{FF2B5EF4-FFF2-40B4-BE49-F238E27FC236}">
              <a16:creationId xmlns:a16="http://schemas.microsoft.com/office/drawing/2014/main" id="{B474B39B-DEF0-4DFC-84E4-7F91ED784742}"/>
            </a:ext>
          </a:extLst>
        </xdr:cNvPr>
        <xdr:cNvGrpSpPr/>
      </xdr:nvGrpSpPr>
      <xdr:grpSpPr>
        <a:xfrm>
          <a:off x="6379010" y="2793226"/>
          <a:ext cx="182763" cy="224496"/>
          <a:chOff x="6572251" y="7468545"/>
          <a:chExt cx="223837" cy="280178"/>
        </a:xfrm>
      </xdr:grpSpPr>
      <xdr:sp macro="" textlink="">
        <xdr:nvSpPr>
          <xdr:cNvPr id="145" name="Elipse 144">
            <a:extLst>
              <a:ext uri="{FF2B5EF4-FFF2-40B4-BE49-F238E27FC236}">
                <a16:creationId xmlns:a16="http://schemas.microsoft.com/office/drawing/2014/main" id="{8242D189-718C-EF99-B34D-3CF64A3D91D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46" name="CaixaDeTexto 145">
            <a:extLst>
              <a:ext uri="{FF2B5EF4-FFF2-40B4-BE49-F238E27FC236}">
                <a16:creationId xmlns:a16="http://schemas.microsoft.com/office/drawing/2014/main" id="{7EA9941C-D169-F936-87F8-4F21F125C95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</xdr:row>
      <xdr:rowOff>216783</xdr:rowOff>
    </xdr:from>
    <xdr:to>
      <xdr:col>7</xdr:col>
      <xdr:colOff>725408</xdr:colOff>
      <xdr:row>12</xdr:row>
      <xdr:rowOff>220278</xdr:rowOff>
    </xdr:to>
    <xdr:grpSp>
      <xdr:nvGrpSpPr>
        <xdr:cNvPr id="147" name="Agrupar 146">
          <a:extLst>
            <a:ext uri="{FF2B5EF4-FFF2-40B4-BE49-F238E27FC236}">
              <a16:creationId xmlns:a16="http://schemas.microsoft.com/office/drawing/2014/main" id="{06B147B3-BBFC-43FA-B04F-B9D7170604D5}"/>
            </a:ext>
          </a:extLst>
        </xdr:cNvPr>
        <xdr:cNvGrpSpPr/>
      </xdr:nvGrpSpPr>
      <xdr:grpSpPr>
        <a:xfrm>
          <a:off x="6899075" y="2801796"/>
          <a:ext cx="182763" cy="225343"/>
          <a:chOff x="6572251" y="7477594"/>
          <a:chExt cx="223837" cy="280178"/>
        </a:xfrm>
      </xdr:grpSpPr>
      <xdr:sp macro="" textlink="">
        <xdr:nvSpPr>
          <xdr:cNvPr id="148" name="Elipse 147">
            <a:extLst>
              <a:ext uri="{FF2B5EF4-FFF2-40B4-BE49-F238E27FC236}">
                <a16:creationId xmlns:a16="http://schemas.microsoft.com/office/drawing/2014/main" id="{EF776F9A-73AD-8ADE-B21C-7E84AD3324D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49" name="CaixaDeTexto 148">
            <a:extLst>
              <a:ext uri="{FF2B5EF4-FFF2-40B4-BE49-F238E27FC236}">
                <a16:creationId xmlns:a16="http://schemas.microsoft.com/office/drawing/2014/main" id="{22722624-F391-4154-E16C-426FF008429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</xdr:row>
      <xdr:rowOff>208213</xdr:rowOff>
    </xdr:from>
    <xdr:to>
      <xdr:col>7</xdr:col>
      <xdr:colOff>205343</xdr:colOff>
      <xdr:row>13</xdr:row>
      <xdr:rowOff>210861</xdr:rowOff>
    </xdr:to>
    <xdr:grpSp>
      <xdr:nvGrpSpPr>
        <xdr:cNvPr id="172" name="Agrupar 171">
          <a:extLst>
            <a:ext uri="{FF2B5EF4-FFF2-40B4-BE49-F238E27FC236}">
              <a16:creationId xmlns:a16="http://schemas.microsoft.com/office/drawing/2014/main" id="{720EF445-576E-4E9E-953C-64298C9DAD2C}"/>
            </a:ext>
          </a:extLst>
        </xdr:cNvPr>
        <xdr:cNvGrpSpPr/>
      </xdr:nvGrpSpPr>
      <xdr:grpSpPr>
        <a:xfrm>
          <a:off x="6379010" y="3015074"/>
          <a:ext cx="182763" cy="224496"/>
          <a:chOff x="6572251" y="7468545"/>
          <a:chExt cx="223837" cy="280178"/>
        </a:xfrm>
      </xdr:grpSpPr>
      <xdr:sp macro="" textlink="">
        <xdr:nvSpPr>
          <xdr:cNvPr id="173" name="Elipse 172">
            <a:extLst>
              <a:ext uri="{FF2B5EF4-FFF2-40B4-BE49-F238E27FC236}">
                <a16:creationId xmlns:a16="http://schemas.microsoft.com/office/drawing/2014/main" id="{2CE6915D-9DD4-1FC3-8905-DB508FBB831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74" name="CaixaDeTexto 173">
            <a:extLst>
              <a:ext uri="{FF2B5EF4-FFF2-40B4-BE49-F238E27FC236}">
                <a16:creationId xmlns:a16="http://schemas.microsoft.com/office/drawing/2014/main" id="{B3B75C8B-7B47-0223-B95A-2F12AD6CF39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</xdr:row>
      <xdr:rowOff>216783</xdr:rowOff>
    </xdr:from>
    <xdr:to>
      <xdr:col>7</xdr:col>
      <xdr:colOff>725408</xdr:colOff>
      <xdr:row>13</xdr:row>
      <xdr:rowOff>220278</xdr:rowOff>
    </xdr:to>
    <xdr:grpSp>
      <xdr:nvGrpSpPr>
        <xdr:cNvPr id="175" name="Agrupar 174">
          <a:extLst>
            <a:ext uri="{FF2B5EF4-FFF2-40B4-BE49-F238E27FC236}">
              <a16:creationId xmlns:a16="http://schemas.microsoft.com/office/drawing/2014/main" id="{A90067B6-5DEF-46E8-BAA9-4411914E9324}"/>
            </a:ext>
          </a:extLst>
        </xdr:cNvPr>
        <xdr:cNvGrpSpPr/>
      </xdr:nvGrpSpPr>
      <xdr:grpSpPr>
        <a:xfrm>
          <a:off x="6899075" y="3023644"/>
          <a:ext cx="182763" cy="225343"/>
          <a:chOff x="6572251" y="7477594"/>
          <a:chExt cx="223837" cy="280178"/>
        </a:xfrm>
      </xdr:grpSpPr>
      <xdr:sp macro="" textlink="">
        <xdr:nvSpPr>
          <xdr:cNvPr id="176" name="Elipse 175">
            <a:extLst>
              <a:ext uri="{FF2B5EF4-FFF2-40B4-BE49-F238E27FC236}">
                <a16:creationId xmlns:a16="http://schemas.microsoft.com/office/drawing/2014/main" id="{350E5612-4FE8-0DE0-8987-5B93C2F6842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77" name="CaixaDeTexto 176">
            <a:extLst>
              <a:ext uri="{FF2B5EF4-FFF2-40B4-BE49-F238E27FC236}">
                <a16:creationId xmlns:a16="http://schemas.microsoft.com/office/drawing/2014/main" id="{54F6F0D2-DF2A-890D-D8E4-D254D20780F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13</xdr:row>
      <xdr:rowOff>208213</xdr:rowOff>
    </xdr:from>
    <xdr:to>
      <xdr:col>7</xdr:col>
      <xdr:colOff>205343</xdr:colOff>
      <xdr:row>14</xdr:row>
      <xdr:rowOff>210861</xdr:rowOff>
    </xdr:to>
    <xdr:grpSp>
      <xdr:nvGrpSpPr>
        <xdr:cNvPr id="178" name="Agrupar 177">
          <a:extLst>
            <a:ext uri="{FF2B5EF4-FFF2-40B4-BE49-F238E27FC236}">
              <a16:creationId xmlns:a16="http://schemas.microsoft.com/office/drawing/2014/main" id="{AE918773-F767-429A-9E82-767437620B49}"/>
            </a:ext>
          </a:extLst>
        </xdr:cNvPr>
        <xdr:cNvGrpSpPr/>
      </xdr:nvGrpSpPr>
      <xdr:grpSpPr>
        <a:xfrm>
          <a:off x="6379010" y="3236922"/>
          <a:ext cx="182763" cy="224496"/>
          <a:chOff x="6572251" y="7468545"/>
          <a:chExt cx="223837" cy="280178"/>
        </a:xfrm>
      </xdr:grpSpPr>
      <xdr:sp macro="" textlink="">
        <xdr:nvSpPr>
          <xdr:cNvPr id="179" name="Elipse 178">
            <a:extLst>
              <a:ext uri="{FF2B5EF4-FFF2-40B4-BE49-F238E27FC236}">
                <a16:creationId xmlns:a16="http://schemas.microsoft.com/office/drawing/2014/main" id="{9776605F-53B8-1EEA-47CD-2196FFC8BEC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80" name="CaixaDeTexto 179">
            <a:extLst>
              <a:ext uri="{FF2B5EF4-FFF2-40B4-BE49-F238E27FC236}">
                <a16:creationId xmlns:a16="http://schemas.microsoft.com/office/drawing/2014/main" id="{8CA8CC2C-C048-37E8-ED13-19ABBBA164EC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13</xdr:row>
      <xdr:rowOff>216783</xdr:rowOff>
    </xdr:from>
    <xdr:to>
      <xdr:col>7</xdr:col>
      <xdr:colOff>725408</xdr:colOff>
      <xdr:row>14</xdr:row>
      <xdr:rowOff>220278</xdr:rowOff>
    </xdr:to>
    <xdr:grpSp>
      <xdr:nvGrpSpPr>
        <xdr:cNvPr id="181" name="Agrupar 180">
          <a:extLst>
            <a:ext uri="{FF2B5EF4-FFF2-40B4-BE49-F238E27FC236}">
              <a16:creationId xmlns:a16="http://schemas.microsoft.com/office/drawing/2014/main" id="{93EDA07B-5399-4CAD-A565-146EE80B4C4F}"/>
            </a:ext>
          </a:extLst>
        </xdr:cNvPr>
        <xdr:cNvGrpSpPr/>
      </xdr:nvGrpSpPr>
      <xdr:grpSpPr>
        <a:xfrm>
          <a:off x="6899075" y="3245492"/>
          <a:ext cx="182763" cy="225343"/>
          <a:chOff x="6572251" y="7477594"/>
          <a:chExt cx="223837" cy="280178"/>
        </a:xfrm>
      </xdr:grpSpPr>
      <xdr:sp macro="" textlink="">
        <xdr:nvSpPr>
          <xdr:cNvPr id="182" name="Elipse 181">
            <a:extLst>
              <a:ext uri="{FF2B5EF4-FFF2-40B4-BE49-F238E27FC236}">
                <a16:creationId xmlns:a16="http://schemas.microsoft.com/office/drawing/2014/main" id="{B5C73AA4-1368-F0AD-A91D-DDE5759346A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83" name="CaixaDeTexto 182">
            <a:extLst>
              <a:ext uri="{FF2B5EF4-FFF2-40B4-BE49-F238E27FC236}">
                <a16:creationId xmlns:a16="http://schemas.microsoft.com/office/drawing/2014/main" id="{1A40AE00-54FF-4848-3162-F79F280B2C9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</xdr:row>
      <xdr:rowOff>208213</xdr:rowOff>
    </xdr:from>
    <xdr:to>
      <xdr:col>7</xdr:col>
      <xdr:colOff>205343</xdr:colOff>
      <xdr:row>11</xdr:row>
      <xdr:rowOff>210861</xdr:rowOff>
    </xdr:to>
    <xdr:grpSp>
      <xdr:nvGrpSpPr>
        <xdr:cNvPr id="184" name="Agrupar 183">
          <a:extLst>
            <a:ext uri="{FF2B5EF4-FFF2-40B4-BE49-F238E27FC236}">
              <a16:creationId xmlns:a16="http://schemas.microsoft.com/office/drawing/2014/main" id="{DEF3F30F-680D-4891-9E31-F153AB2962C5}"/>
            </a:ext>
          </a:extLst>
        </xdr:cNvPr>
        <xdr:cNvGrpSpPr/>
      </xdr:nvGrpSpPr>
      <xdr:grpSpPr>
        <a:xfrm>
          <a:off x="6379010" y="2571378"/>
          <a:ext cx="182763" cy="224496"/>
          <a:chOff x="6572251" y="7468545"/>
          <a:chExt cx="223837" cy="280178"/>
        </a:xfrm>
      </xdr:grpSpPr>
      <xdr:sp macro="" textlink="">
        <xdr:nvSpPr>
          <xdr:cNvPr id="185" name="Elipse 184">
            <a:extLst>
              <a:ext uri="{FF2B5EF4-FFF2-40B4-BE49-F238E27FC236}">
                <a16:creationId xmlns:a16="http://schemas.microsoft.com/office/drawing/2014/main" id="{CDD8C523-A64F-3F57-4AF9-95F24E85832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86" name="CaixaDeTexto 185">
            <a:extLst>
              <a:ext uri="{FF2B5EF4-FFF2-40B4-BE49-F238E27FC236}">
                <a16:creationId xmlns:a16="http://schemas.microsoft.com/office/drawing/2014/main" id="{22C6BF44-CF66-834F-A80C-DF3A547B1EF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</xdr:row>
      <xdr:rowOff>216783</xdr:rowOff>
    </xdr:from>
    <xdr:to>
      <xdr:col>7</xdr:col>
      <xdr:colOff>725408</xdr:colOff>
      <xdr:row>11</xdr:row>
      <xdr:rowOff>220278</xdr:rowOff>
    </xdr:to>
    <xdr:grpSp>
      <xdr:nvGrpSpPr>
        <xdr:cNvPr id="187" name="Agrupar 186">
          <a:extLst>
            <a:ext uri="{FF2B5EF4-FFF2-40B4-BE49-F238E27FC236}">
              <a16:creationId xmlns:a16="http://schemas.microsoft.com/office/drawing/2014/main" id="{BB83E7D7-2EA6-4CD9-8891-8C3EE89A8493}"/>
            </a:ext>
          </a:extLst>
        </xdr:cNvPr>
        <xdr:cNvGrpSpPr/>
      </xdr:nvGrpSpPr>
      <xdr:grpSpPr>
        <a:xfrm>
          <a:off x="6899075" y="2579948"/>
          <a:ext cx="182763" cy="225343"/>
          <a:chOff x="6572251" y="7477594"/>
          <a:chExt cx="223837" cy="280178"/>
        </a:xfrm>
      </xdr:grpSpPr>
      <xdr:sp macro="" textlink="">
        <xdr:nvSpPr>
          <xdr:cNvPr id="188" name="Elipse 187">
            <a:extLst>
              <a:ext uri="{FF2B5EF4-FFF2-40B4-BE49-F238E27FC236}">
                <a16:creationId xmlns:a16="http://schemas.microsoft.com/office/drawing/2014/main" id="{5AF403FB-FF5B-F54F-32DD-7B6E71A5A0D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89" name="CaixaDeTexto 188">
            <a:extLst>
              <a:ext uri="{FF2B5EF4-FFF2-40B4-BE49-F238E27FC236}">
                <a16:creationId xmlns:a16="http://schemas.microsoft.com/office/drawing/2014/main" id="{23AB8850-4488-40A8-37E3-3732CB48CE2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16</xdr:row>
      <xdr:rowOff>208213</xdr:rowOff>
    </xdr:from>
    <xdr:to>
      <xdr:col>7</xdr:col>
      <xdr:colOff>205343</xdr:colOff>
      <xdr:row>17</xdr:row>
      <xdr:rowOff>210861</xdr:rowOff>
    </xdr:to>
    <xdr:grpSp>
      <xdr:nvGrpSpPr>
        <xdr:cNvPr id="196" name="Agrupar 195">
          <a:extLst>
            <a:ext uri="{FF2B5EF4-FFF2-40B4-BE49-F238E27FC236}">
              <a16:creationId xmlns:a16="http://schemas.microsoft.com/office/drawing/2014/main" id="{5E1299F9-6351-444F-9F89-5EC262EFEC94}"/>
            </a:ext>
          </a:extLst>
        </xdr:cNvPr>
        <xdr:cNvGrpSpPr/>
      </xdr:nvGrpSpPr>
      <xdr:grpSpPr>
        <a:xfrm>
          <a:off x="6379010" y="3902466"/>
          <a:ext cx="182763" cy="224496"/>
          <a:chOff x="6572251" y="7468545"/>
          <a:chExt cx="223837" cy="280178"/>
        </a:xfrm>
      </xdr:grpSpPr>
      <xdr:sp macro="" textlink="">
        <xdr:nvSpPr>
          <xdr:cNvPr id="197" name="Elipse 196">
            <a:extLst>
              <a:ext uri="{FF2B5EF4-FFF2-40B4-BE49-F238E27FC236}">
                <a16:creationId xmlns:a16="http://schemas.microsoft.com/office/drawing/2014/main" id="{333B7696-AD64-84DA-5E2E-B8411D44ED6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98" name="CaixaDeTexto 197">
            <a:extLst>
              <a:ext uri="{FF2B5EF4-FFF2-40B4-BE49-F238E27FC236}">
                <a16:creationId xmlns:a16="http://schemas.microsoft.com/office/drawing/2014/main" id="{58EACE5E-5E5B-DF3A-D3CA-216691B8FF7A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16</xdr:row>
      <xdr:rowOff>216783</xdr:rowOff>
    </xdr:from>
    <xdr:to>
      <xdr:col>7</xdr:col>
      <xdr:colOff>725408</xdr:colOff>
      <xdr:row>17</xdr:row>
      <xdr:rowOff>220278</xdr:rowOff>
    </xdr:to>
    <xdr:grpSp>
      <xdr:nvGrpSpPr>
        <xdr:cNvPr id="199" name="Agrupar 198">
          <a:extLst>
            <a:ext uri="{FF2B5EF4-FFF2-40B4-BE49-F238E27FC236}">
              <a16:creationId xmlns:a16="http://schemas.microsoft.com/office/drawing/2014/main" id="{4A691A28-5073-498B-8C8A-C810D05FE27C}"/>
            </a:ext>
          </a:extLst>
        </xdr:cNvPr>
        <xdr:cNvGrpSpPr/>
      </xdr:nvGrpSpPr>
      <xdr:grpSpPr>
        <a:xfrm>
          <a:off x="6899075" y="3911036"/>
          <a:ext cx="182763" cy="225343"/>
          <a:chOff x="6572251" y="7477594"/>
          <a:chExt cx="223837" cy="280178"/>
        </a:xfrm>
      </xdr:grpSpPr>
      <xdr:sp macro="" textlink="">
        <xdr:nvSpPr>
          <xdr:cNvPr id="200" name="Elipse 199">
            <a:extLst>
              <a:ext uri="{FF2B5EF4-FFF2-40B4-BE49-F238E27FC236}">
                <a16:creationId xmlns:a16="http://schemas.microsoft.com/office/drawing/2014/main" id="{39CFB24F-24F8-79C4-5265-0FDC928CABB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01" name="CaixaDeTexto 200">
            <a:extLst>
              <a:ext uri="{FF2B5EF4-FFF2-40B4-BE49-F238E27FC236}">
                <a16:creationId xmlns:a16="http://schemas.microsoft.com/office/drawing/2014/main" id="{29963DDC-DE85-63DA-43CE-182C2B1C0AB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17</xdr:row>
      <xdr:rowOff>208213</xdr:rowOff>
    </xdr:from>
    <xdr:to>
      <xdr:col>7</xdr:col>
      <xdr:colOff>205343</xdr:colOff>
      <xdr:row>18</xdr:row>
      <xdr:rowOff>210861</xdr:rowOff>
    </xdr:to>
    <xdr:grpSp>
      <xdr:nvGrpSpPr>
        <xdr:cNvPr id="202" name="Agrupar 201">
          <a:extLst>
            <a:ext uri="{FF2B5EF4-FFF2-40B4-BE49-F238E27FC236}">
              <a16:creationId xmlns:a16="http://schemas.microsoft.com/office/drawing/2014/main" id="{12AA2A3A-EFDB-4B16-B825-55AC0077244B}"/>
            </a:ext>
          </a:extLst>
        </xdr:cNvPr>
        <xdr:cNvGrpSpPr/>
      </xdr:nvGrpSpPr>
      <xdr:grpSpPr>
        <a:xfrm>
          <a:off x="6379010" y="4124314"/>
          <a:ext cx="182763" cy="224496"/>
          <a:chOff x="6572251" y="7468545"/>
          <a:chExt cx="223837" cy="280178"/>
        </a:xfrm>
      </xdr:grpSpPr>
      <xdr:sp macro="" textlink="">
        <xdr:nvSpPr>
          <xdr:cNvPr id="203" name="Elipse 202">
            <a:extLst>
              <a:ext uri="{FF2B5EF4-FFF2-40B4-BE49-F238E27FC236}">
                <a16:creationId xmlns:a16="http://schemas.microsoft.com/office/drawing/2014/main" id="{8315911C-D93E-FA8C-8562-439E414A660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04" name="CaixaDeTexto 203">
            <a:extLst>
              <a:ext uri="{FF2B5EF4-FFF2-40B4-BE49-F238E27FC236}">
                <a16:creationId xmlns:a16="http://schemas.microsoft.com/office/drawing/2014/main" id="{08A8FFB0-BFF1-BF6C-D674-F5DC61013FF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17</xdr:row>
      <xdr:rowOff>216783</xdr:rowOff>
    </xdr:from>
    <xdr:to>
      <xdr:col>7</xdr:col>
      <xdr:colOff>725408</xdr:colOff>
      <xdr:row>18</xdr:row>
      <xdr:rowOff>220278</xdr:rowOff>
    </xdr:to>
    <xdr:grpSp>
      <xdr:nvGrpSpPr>
        <xdr:cNvPr id="205" name="Agrupar 204">
          <a:extLst>
            <a:ext uri="{FF2B5EF4-FFF2-40B4-BE49-F238E27FC236}">
              <a16:creationId xmlns:a16="http://schemas.microsoft.com/office/drawing/2014/main" id="{49765A39-4691-4D7C-BE18-2C0D612D6457}"/>
            </a:ext>
          </a:extLst>
        </xdr:cNvPr>
        <xdr:cNvGrpSpPr/>
      </xdr:nvGrpSpPr>
      <xdr:grpSpPr>
        <a:xfrm>
          <a:off x="6899075" y="4132884"/>
          <a:ext cx="182763" cy="225343"/>
          <a:chOff x="6572251" y="7477594"/>
          <a:chExt cx="223837" cy="280178"/>
        </a:xfrm>
      </xdr:grpSpPr>
      <xdr:sp macro="" textlink="">
        <xdr:nvSpPr>
          <xdr:cNvPr id="206" name="Elipse 205">
            <a:extLst>
              <a:ext uri="{FF2B5EF4-FFF2-40B4-BE49-F238E27FC236}">
                <a16:creationId xmlns:a16="http://schemas.microsoft.com/office/drawing/2014/main" id="{AA7FFA74-1464-2C7A-968F-090185CA7B6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07" name="CaixaDeTexto 206">
            <a:extLst>
              <a:ext uri="{FF2B5EF4-FFF2-40B4-BE49-F238E27FC236}">
                <a16:creationId xmlns:a16="http://schemas.microsoft.com/office/drawing/2014/main" id="{E3BF979B-99C7-099D-E4B6-07F74006129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18</xdr:row>
      <xdr:rowOff>208213</xdr:rowOff>
    </xdr:from>
    <xdr:to>
      <xdr:col>7</xdr:col>
      <xdr:colOff>205343</xdr:colOff>
      <xdr:row>19</xdr:row>
      <xdr:rowOff>210861</xdr:rowOff>
    </xdr:to>
    <xdr:grpSp>
      <xdr:nvGrpSpPr>
        <xdr:cNvPr id="208" name="Agrupar 207">
          <a:extLst>
            <a:ext uri="{FF2B5EF4-FFF2-40B4-BE49-F238E27FC236}">
              <a16:creationId xmlns:a16="http://schemas.microsoft.com/office/drawing/2014/main" id="{E6A6CA1D-B951-4A90-8ED4-0A19222E0DC2}"/>
            </a:ext>
          </a:extLst>
        </xdr:cNvPr>
        <xdr:cNvGrpSpPr/>
      </xdr:nvGrpSpPr>
      <xdr:grpSpPr>
        <a:xfrm>
          <a:off x="6379010" y="4346162"/>
          <a:ext cx="182763" cy="224496"/>
          <a:chOff x="6572251" y="7468545"/>
          <a:chExt cx="223837" cy="280178"/>
        </a:xfrm>
      </xdr:grpSpPr>
      <xdr:sp macro="" textlink="">
        <xdr:nvSpPr>
          <xdr:cNvPr id="209" name="Elipse 208">
            <a:extLst>
              <a:ext uri="{FF2B5EF4-FFF2-40B4-BE49-F238E27FC236}">
                <a16:creationId xmlns:a16="http://schemas.microsoft.com/office/drawing/2014/main" id="{09AC85AA-EBD0-77BF-8476-3B683A56AD4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10" name="CaixaDeTexto 209">
            <a:extLst>
              <a:ext uri="{FF2B5EF4-FFF2-40B4-BE49-F238E27FC236}">
                <a16:creationId xmlns:a16="http://schemas.microsoft.com/office/drawing/2014/main" id="{326CFD9D-3082-7B7D-2FB3-8BD7C2245F7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18</xdr:row>
      <xdr:rowOff>216783</xdr:rowOff>
    </xdr:from>
    <xdr:to>
      <xdr:col>7</xdr:col>
      <xdr:colOff>725408</xdr:colOff>
      <xdr:row>19</xdr:row>
      <xdr:rowOff>220278</xdr:rowOff>
    </xdr:to>
    <xdr:grpSp>
      <xdr:nvGrpSpPr>
        <xdr:cNvPr id="211" name="Agrupar 210">
          <a:extLst>
            <a:ext uri="{FF2B5EF4-FFF2-40B4-BE49-F238E27FC236}">
              <a16:creationId xmlns:a16="http://schemas.microsoft.com/office/drawing/2014/main" id="{C4781B30-A027-4E96-B93A-F7C5ED33F3D8}"/>
            </a:ext>
          </a:extLst>
        </xdr:cNvPr>
        <xdr:cNvGrpSpPr/>
      </xdr:nvGrpSpPr>
      <xdr:grpSpPr>
        <a:xfrm>
          <a:off x="6899075" y="4354732"/>
          <a:ext cx="182763" cy="225343"/>
          <a:chOff x="6572251" y="7477594"/>
          <a:chExt cx="223837" cy="280178"/>
        </a:xfrm>
      </xdr:grpSpPr>
      <xdr:sp macro="" textlink="">
        <xdr:nvSpPr>
          <xdr:cNvPr id="212" name="Elipse 211">
            <a:extLst>
              <a:ext uri="{FF2B5EF4-FFF2-40B4-BE49-F238E27FC236}">
                <a16:creationId xmlns:a16="http://schemas.microsoft.com/office/drawing/2014/main" id="{44EC5AAB-9A36-30EF-DD0A-9C115E87524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13" name="CaixaDeTexto 212">
            <a:extLst>
              <a:ext uri="{FF2B5EF4-FFF2-40B4-BE49-F238E27FC236}">
                <a16:creationId xmlns:a16="http://schemas.microsoft.com/office/drawing/2014/main" id="{BA3671A9-BB90-9B15-5DA4-00429481E2A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15</xdr:row>
      <xdr:rowOff>208213</xdr:rowOff>
    </xdr:from>
    <xdr:to>
      <xdr:col>7</xdr:col>
      <xdr:colOff>205343</xdr:colOff>
      <xdr:row>16</xdr:row>
      <xdr:rowOff>210861</xdr:rowOff>
    </xdr:to>
    <xdr:grpSp>
      <xdr:nvGrpSpPr>
        <xdr:cNvPr id="214" name="Agrupar 213">
          <a:extLst>
            <a:ext uri="{FF2B5EF4-FFF2-40B4-BE49-F238E27FC236}">
              <a16:creationId xmlns:a16="http://schemas.microsoft.com/office/drawing/2014/main" id="{ABF3B75C-F1AD-4C6C-9DB4-271C07B5EB7E}"/>
            </a:ext>
          </a:extLst>
        </xdr:cNvPr>
        <xdr:cNvGrpSpPr/>
      </xdr:nvGrpSpPr>
      <xdr:grpSpPr>
        <a:xfrm>
          <a:off x="6379010" y="3680618"/>
          <a:ext cx="182763" cy="224496"/>
          <a:chOff x="6572251" y="7468545"/>
          <a:chExt cx="223837" cy="280178"/>
        </a:xfrm>
      </xdr:grpSpPr>
      <xdr:sp macro="" textlink="">
        <xdr:nvSpPr>
          <xdr:cNvPr id="215" name="Elipse 214">
            <a:extLst>
              <a:ext uri="{FF2B5EF4-FFF2-40B4-BE49-F238E27FC236}">
                <a16:creationId xmlns:a16="http://schemas.microsoft.com/office/drawing/2014/main" id="{35FBFB62-CF61-49F6-5EA6-F3618537457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16" name="CaixaDeTexto 215">
            <a:extLst>
              <a:ext uri="{FF2B5EF4-FFF2-40B4-BE49-F238E27FC236}">
                <a16:creationId xmlns:a16="http://schemas.microsoft.com/office/drawing/2014/main" id="{A0714C89-7906-907E-1FE4-FBF7B379666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15</xdr:row>
      <xdr:rowOff>216783</xdr:rowOff>
    </xdr:from>
    <xdr:to>
      <xdr:col>7</xdr:col>
      <xdr:colOff>725408</xdr:colOff>
      <xdr:row>16</xdr:row>
      <xdr:rowOff>220278</xdr:rowOff>
    </xdr:to>
    <xdr:grpSp>
      <xdr:nvGrpSpPr>
        <xdr:cNvPr id="217" name="Agrupar 216">
          <a:extLst>
            <a:ext uri="{FF2B5EF4-FFF2-40B4-BE49-F238E27FC236}">
              <a16:creationId xmlns:a16="http://schemas.microsoft.com/office/drawing/2014/main" id="{E3CE56DD-4558-4D8C-A36D-C23C9B59B84B}"/>
            </a:ext>
          </a:extLst>
        </xdr:cNvPr>
        <xdr:cNvGrpSpPr/>
      </xdr:nvGrpSpPr>
      <xdr:grpSpPr>
        <a:xfrm>
          <a:off x="6899075" y="3689188"/>
          <a:ext cx="182763" cy="225343"/>
          <a:chOff x="6572251" y="7477594"/>
          <a:chExt cx="223837" cy="280178"/>
        </a:xfrm>
      </xdr:grpSpPr>
      <xdr:sp macro="" textlink="">
        <xdr:nvSpPr>
          <xdr:cNvPr id="218" name="Elipse 217">
            <a:extLst>
              <a:ext uri="{FF2B5EF4-FFF2-40B4-BE49-F238E27FC236}">
                <a16:creationId xmlns:a16="http://schemas.microsoft.com/office/drawing/2014/main" id="{1EAD8476-D38B-6EEC-41C9-99AC7177FB2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19" name="CaixaDeTexto 218">
            <a:extLst>
              <a:ext uri="{FF2B5EF4-FFF2-40B4-BE49-F238E27FC236}">
                <a16:creationId xmlns:a16="http://schemas.microsoft.com/office/drawing/2014/main" id="{EB0536F2-6163-FCE6-1EC8-413D9BCA122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21</xdr:row>
      <xdr:rowOff>208213</xdr:rowOff>
    </xdr:from>
    <xdr:to>
      <xdr:col>7</xdr:col>
      <xdr:colOff>205343</xdr:colOff>
      <xdr:row>22</xdr:row>
      <xdr:rowOff>210861</xdr:rowOff>
    </xdr:to>
    <xdr:grpSp>
      <xdr:nvGrpSpPr>
        <xdr:cNvPr id="226" name="Agrupar 225">
          <a:extLst>
            <a:ext uri="{FF2B5EF4-FFF2-40B4-BE49-F238E27FC236}">
              <a16:creationId xmlns:a16="http://schemas.microsoft.com/office/drawing/2014/main" id="{5FDB9444-457A-413F-800D-2E47F4985E49}"/>
            </a:ext>
          </a:extLst>
        </xdr:cNvPr>
        <xdr:cNvGrpSpPr/>
      </xdr:nvGrpSpPr>
      <xdr:grpSpPr>
        <a:xfrm>
          <a:off x="6379010" y="5011707"/>
          <a:ext cx="182763" cy="224496"/>
          <a:chOff x="6572251" y="7468545"/>
          <a:chExt cx="223837" cy="280178"/>
        </a:xfrm>
      </xdr:grpSpPr>
      <xdr:sp macro="" textlink="">
        <xdr:nvSpPr>
          <xdr:cNvPr id="227" name="Elipse 226">
            <a:extLst>
              <a:ext uri="{FF2B5EF4-FFF2-40B4-BE49-F238E27FC236}">
                <a16:creationId xmlns:a16="http://schemas.microsoft.com/office/drawing/2014/main" id="{7A20361B-321B-FFFB-FCA0-B7BE9A707A6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28" name="CaixaDeTexto 227">
            <a:extLst>
              <a:ext uri="{FF2B5EF4-FFF2-40B4-BE49-F238E27FC236}">
                <a16:creationId xmlns:a16="http://schemas.microsoft.com/office/drawing/2014/main" id="{C0F5BEC7-5E55-4570-ADAE-6F2DB94E4E7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21</xdr:row>
      <xdr:rowOff>216783</xdr:rowOff>
    </xdr:from>
    <xdr:to>
      <xdr:col>7</xdr:col>
      <xdr:colOff>725408</xdr:colOff>
      <xdr:row>22</xdr:row>
      <xdr:rowOff>220278</xdr:rowOff>
    </xdr:to>
    <xdr:grpSp>
      <xdr:nvGrpSpPr>
        <xdr:cNvPr id="229" name="Agrupar 228">
          <a:extLst>
            <a:ext uri="{FF2B5EF4-FFF2-40B4-BE49-F238E27FC236}">
              <a16:creationId xmlns:a16="http://schemas.microsoft.com/office/drawing/2014/main" id="{A86A65B3-4CDB-4363-8E91-705CD92C2D86}"/>
            </a:ext>
          </a:extLst>
        </xdr:cNvPr>
        <xdr:cNvGrpSpPr/>
      </xdr:nvGrpSpPr>
      <xdr:grpSpPr>
        <a:xfrm>
          <a:off x="6899075" y="5020277"/>
          <a:ext cx="182763" cy="225343"/>
          <a:chOff x="6572251" y="7477594"/>
          <a:chExt cx="223837" cy="280178"/>
        </a:xfrm>
      </xdr:grpSpPr>
      <xdr:sp macro="" textlink="">
        <xdr:nvSpPr>
          <xdr:cNvPr id="230" name="Elipse 229">
            <a:extLst>
              <a:ext uri="{FF2B5EF4-FFF2-40B4-BE49-F238E27FC236}">
                <a16:creationId xmlns:a16="http://schemas.microsoft.com/office/drawing/2014/main" id="{745ED933-BF55-0EC9-A2F5-4D108E466B2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31" name="CaixaDeTexto 230">
            <a:extLst>
              <a:ext uri="{FF2B5EF4-FFF2-40B4-BE49-F238E27FC236}">
                <a16:creationId xmlns:a16="http://schemas.microsoft.com/office/drawing/2014/main" id="{CD4A3FBB-4ACD-FBB8-D3A5-3CF2AB2FB0D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22</xdr:row>
      <xdr:rowOff>208213</xdr:rowOff>
    </xdr:from>
    <xdr:to>
      <xdr:col>7</xdr:col>
      <xdr:colOff>205343</xdr:colOff>
      <xdr:row>23</xdr:row>
      <xdr:rowOff>210861</xdr:rowOff>
    </xdr:to>
    <xdr:grpSp>
      <xdr:nvGrpSpPr>
        <xdr:cNvPr id="232" name="Agrupar 231">
          <a:extLst>
            <a:ext uri="{FF2B5EF4-FFF2-40B4-BE49-F238E27FC236}">
              <a16:creationId xmlns:a16="http://schemas.microsoft.com/office/drawing/2014/main" id="{EDA6A97C-FB47-4221-805A-B40EB24F6CCB}"/>
            </a:ext>
          </a:extLst>
        </xdr:cNvPr>
        <xdr:cNvGrpSpPr/>
      </xdr:nvGrpSpPr>
      <xdr:grpSpPr>
        <a:xfrm>
          <a:off x="6379010" y="5233555"/>
          <a:ext cx="182763" cy="224496"/>
          <a:chOff x="6572251" y="7468545"/>
          <a:chExt cx="223837" cy="280178"/>
        </a:xfrm>
      </xdr:grpSpPr>
      <xdr:sp macro="" textlink="">
        <xdr:nvSpPr>
          <xdr:cNvPr id="233" name="Elipse 232">
            <a:extLst>
              <a:ext uri="{FF2B5EF4-FFF2-40B4-BE49-F238E27FC236}">
                <a16:creationId xmlns:a16="http://schemas.microsoft.com/office/drawing/2014/main" id="{8929D752-71BA-FFE1-9DDF-7130F9768EC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34" name="CaixaDeTexto 233">
            <a:extLst>
              <a:ext uri="{FF2B5EF4-FFF2-40B4-BE49-F238E27FC236}">
                <a16:creationId xmlns:a16="http://schemas.microsoft.com/office/drawing/2014/main" id="{39635A23-E633-9C89-956D-5E02B0728CA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22</xdr:row>
      <xdr:rowOff>216783</xdr:rowOff>
    </xdr:from>
    <xdr:to>
      <xdr:col>7</xdr:col>
      <xdr:colOff>725408</xdr:colOff>
      <xdr:row>23</xdr:row>
      <xdr:rowOff>220278</xdr:rowOff>
    </xdr:to>
    <xdr:grpSp>
      <xdr:nvGrpSpPr>
        <xdr:cNvPr id="235" name="Agrupar 234">
          <a:extLst>
            <a:ext uri="{FF2B5EF4-FFF2-40B4-BE49-F238E27FC236}">
              <a16:creationId xmlns:a16="http://schemas.microsoft.com/office/drawing/2014/main" id="{4BAC9CAE-8F56-404D-8328-0ADB7F074482}"/>
            </a:ext>
          </a:extLst>
        </xdr:cNvPr>
        <xdr:cNvGrpSpPr/>
      </xdr:nvGrpSpPr>
      <xdr:grpSpPr>
        <a:xfrm>
          <a:off x="6899075" y="5242125"/>
          <a:ext cx="182763" cy="225343"/>
          <a:chOff x="6572251" y="7477594"/>
          <a:chExt cx="223837" cy="280178"/>
        </a:xfrm>
      </xdr:grpSpPr>
      <xdr:sp macro="" textlink="">
        <xdr:nvSpPr>
          <xdr:cNvPr id="236" name="Elipse 235">
            <a:extLst>
              <a:ext uri="{FF2B5EF4-FFF2-40B4-BE49-F238E27FC236}">
                <a16:creationId xmlns:a16="http://schemas.microsoft.com/office/drawing/2014/main" id="{B240216F-4F5B-9C66-813C-B6D34D1A57B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37" name="CaixaDeTexto 236">
            <a:extLst>
              <a:ext uri="{FF2B5EF4-FFF2-40B4-BE49-F238E27FC236}">
                <a16:creationId xmlns:a16="http://schemas.microsoft.com/office/drawing/2014/main" id="{391862C2-B11F-B706-E1A4-63D38D165078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23</xdr:row>
      <xdr:rowOff>208213</xdr:rowOff>
    </xdr:from>
    <xdr:to>
      <xdr:col>7</xdr:col>
      <xdr:colOff>205343</xdr:colOff>
      <xdr:row>24</xdr:row>
      <xdr:rowOff>210861</xdr:rowOff>
    </xdr:to>
    <xdr:grpSp>
      <xdr:nvGrpSpPr>
        <xdr:cNvPr id="238" name="Agrupar 237">
          <a:extLst>
            <a:ext uri="{FF2B5EF4-FFF2-40B4-BE49-F238E27FC236}">
              <a16:creationId xmlns:a16="http://schemas.microsoft.com/office/drawing/2014/main" id="{C501E33B-FBF3-481D-876E-5479BEC24A60}"/>
            </a:ext>
          </a:extLst>
        </xdr:cNvPr>
        <xdr:cNvGrpSpPr/>
      </xdr:nvGrpSpPr>
      <xdr:grpSpPr>
        <a:xfrm>
          <a:off x="6379010" y="5455403"/>
          <a:ext cx="182763" cy="224496"/>
          <a:chOff x="6572251" y="7468545"/>
          <a:chExt cx="223837" cy="280178"/>
        </a:xfrm>
      </xdr:grpSpPr>
      <xdr:sp macro="" textlink="">
        <xdr:nvSpPr>
          <xdr:cNvPr id="239" name="Elipse 238">
            <a:extLst>
              <a:ext uri="{FF2B5EF4-FFF2-40B4-BE49-F238E27FC236}">
                <a16:creationId xmlns:a16="http://schemas.microsoft.com/office/drawing/2014/main" id="{9315BA67-54EC-A572-ADF0-79FAC5E7D85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7002B69C-C1DA-5DAB-0AC0-3A57197BE5B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23</xdr:row>
      <xdr:rowOff>216783</xdr:rowOff>
    </xdr:from>
    <xdr:to>
      <xdr:col>7</xdr:col>
      <xdr:colOff>725408</xdr:colOff>
      <xdr:row>24</xdr:row>
      <xdr:rowOff>220278</xdr:rowOff>
    </xdr:to>
    <xdr:grpSp>
      <xdr:nvGrpSpPr>
        <xdr:cNvPr id="241" name="Agrupar 240">
          <a:extLst>
            <a:ext uri="{FF2B5EF4-FFF2-40B4-BE49-F238E27FC236}">
              <a16:creationId xmlns:a16="http://schemas.microsoft.com/office/drawing/2014/main" id="{275A74AB-7236-40B0-9675-1FD3C09B8343}"/>
            </a:ext>
          </a:extLst>
        </xdr:cNvPr>
        <xdr:cNvGrpSpPr/>
      </xdr:nvGrpSpPr>
      <xdr:grpSpPr>
        <a:xfrm>
          <a:off x="6899075" y="5463973"/>
          <a:ext cx="182763" cy="225343"/>
          <a:chOff x="6572251" y="7477594"/>
          <a:chExt cx="223837" cy="280178"/>
        </a:xfrm>
      </xdr:grpSpPr>
      <xdr:sp macro="" textlink="">
        <xdr:nvSpPr>
          <xdr:cNvPr id="242" name="Elipse 241">
            <a:extLst>
              <a:ext uri="{FF2B5EF4-FFF2-40B4-BE49-F238E27FC236}">
                <a16:creationId xmlns:a16="http://schemas.microsoft.com/office/drawing/2014/main" id="{6BF1BE33-4774-E72A-B8DF-FF18C5407DD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6A3343C3-3128-39F6-7323-D7848BED0CC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20</xdr:row>
      <xdr:rowOff>208213</xdr:rowOff>
    </xdr:from>
    <xdr:to>
      <xdr:col>7</xdr:col>
      <xdr:colOff>205343</xdr:colOff>
      <xdr:row>21</xdr:row>
      <xdr:rowOff>210861</xdr:rowOff>
    </xdr:to>
    <xdr:grpSp>
      <xdr:nvGrpSpPr>
        <xdr:cNvPr id="244" name="Agrupar 243">
          <a:extLst>
            <a:ext uri="{FF2B5EF4-FFF2-40B4-BE49-F238E27FC236}">
              <a16:creationId xmlns:a16="http://schemas.microsoft.com/office/drawing/2014/main" id="{82524CB2-0972-4EF1-8B16-7C547174B975}"/>
            </a:ext>
          </a:extLst>
        </xdr:cNvPr>
        <xdr:cNvGrpSpPr/>
      </xdr:nvGrpSpPr>
      <xdr:grpSpPr>
        <a:xfrm>
          <a:off x="6379010" y="4789859"/>
          <a:ext cx="182763" cy="224496"/>
          <a:chOff x="6572251" y="7468545"/>
          <a:chExt cx="223837" cy="280178"/>
        </a:xfrm>
      </xdr:grpSpPr>
      <xdr:sp macro="" textlink="">
        <xdr:nvSpPr>
          <xdr:cNvPr id="245" name="Elipse 244">
            <a:extLst>
              <a:ext uri="{FF2B5EF4-FFF2-40B4-BE49-F238E27FC236}">
                <a16:creationId xmlns:a16="http://schemas.microsoft.com/office/drawing/2014/main" id="{21ACDD05-8228-824F-86F6-769576F3F28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D1453DD6-15E4-0EDA-3FD4-5C948EF847D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20</xdr:row>
      <xdr:rowOff>216783</xdr:rowOff>
    </xdr:from>
    <xdr:to>
      <xdr:col>7</xdr:col>
      <xdr:colOff>725408</xdr:colOff>
      <xdr:row>21</xdr:row>
      <xdr:rowOff>220278</xdr:rowOff>
    </xdr:to>
    <xdr:grpSp>
      <xdr:nvGrpSpPr>
        <xdr:cNvPr id="247" name="Agrupar 246">
          <a:extLst>
            <a:ext uri="{FF2B5EF4-FFF2-40B4-BE49-F238E27FC236}">
              <a16:creationId xmlns:a16="http://schemas.microsoft.com/office/drawing/2014/main" id="{FCEF0183-15C1-49FC-B8BE-696FE7BDA3B6}"/>
            </a:ext>
          </a:extLst>
        </xdr:cNvPr>
        <xdr:cNvGrpSpPr/>
      </xdr:nvGrpSpPr>
      <xdr:grpSpPr>
        <a:xfrm>
          <a:off x="6899075" y="4798429"/>
          <a:ext cx="182763" cy="225343"/>
          <a:chOff x="6572251" y="7477594"/>
          <a:chExt cx="223837" cy="280178"/>
        </a:xfrm>
      </xdr:grpSpPr>
      <xdr:sp macro="" textlink="">
        <xdr:nvSpPr>
          <xdr:cNvPr id="248" name="Elipse 247">
            <a:extLst>
              <a:ext uri="{FF2B5EF4-FFF2-40B4-BE49-F238E27FC236}">
                <a16:creationId xmlns:a16="http://schemas.microsoft.com/office/drawing/2014/main" id="{2C1DBC33-E120-7DE4-8187-197C6A0A8C7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3C51152E-0267-6C22-94E9-88852E1E804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26</xdr:row>
      <xdr:rowOff>208213</xdr:rowOff>
    </xdr:from>
    <xdr:to>
      <xdr:col>7</xdr:col>
      <xdr:colOff>205343</xdr:colOff>
      <xdr:row>27</xdr:row>
      <xdr:rowOff>210861</xdr:rowOff>
    </xdr:to>
    <xdr:grpSp>
      <xdr:nvGrpSpPr>
        <xdr:cNvPr id="256" name="Agrupar 255">
          <a:extLst>
            <a:ext uri="{FF2B5EF4-FFF2-40B4-BE49-F238E27FC236}">
              <a16:creationId xmlns:a16="http://schemas.microsoft.com/office/drawing/2014/main" id="{916C5C7D-6353-4D1F-AD55-365953FD5CBE}"/>
            </a:ext>
          </a:extLst>
        </xdr:cNvPr>
        <xdr:cNvGrpSpPr/>
      </xdr:nvGrpSpPr>
      <xdr:grpSpPr>
        <a:xfrm>
          <a:off x="6379010" y="6120947"/>
          <a:ext cx="182763" cy="224496"/>
          <a:chOff x="6572251" y="7468545"/>
          <a:chExt cx="223837" cy="280178"/>
        </a:xfrm>
      </xdr:grpSpPr>
      <xdr:sp macro="" textlink="">
        <xdr:nvSpPr>
          <xdr:cNvPr id="257" name="Elipse 256">
            <a:extLst>
              <a:ext uri="{FF2B5EF4-FFF2-40B4-BE49-F238E27FC236}">
                <a16:creationId xmlns:a16="http://schemas.microsoft.com/office/drawing/2014/main" id="{4669CA96-1B32-B583-162C-8F464B58AFB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58" name="CaixaDeTexto 257">
            <a:extLst>
              <a:ext uri="{FF2B5EF4-FFF2-40B4-BE49-F238E27FC236}">
                <a16:creationId xmlns:a16="http://schemas.microsoft.com/office/drawing/2014/main" id="{3D63D393-1C86-767E-A7D9-B997469F05E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26</xdr:row>
      <xdr:rowOff>216783</xdr:rowOff>
    </xdr:from>
    <xdr:to>
      <xdr:col>7</xdr:col>
      <xdr:colOff>725408</xdr:colOff>
      <xdr:row>27</xdr:row>
      <xdr:rowOff>220278</xdr:rowOff>
    </xdr:to>
    <xdr:grpSp>
      <xdr:nvGrpSpPr>
        <xdr:cNvPr id="259" name="Agrupar 258">
          <a:extLst>
            <a:ext uri="{FF2B5EF4-FFF2-40B4-BE49-F238E27FC236}">
              <a16:creationId xmlns:a16="http://schemas.microsoft.com/office/drawing/2014/main" id="{946EEFF1-468A-46BE-99BE-0DF9E7002509}"/>
            </a:ext>
          </a:extLst>
        </xdr:cNvPr>
        <xdr:cNvGrpSpPr/>
      </xdr:nvGrpSpPr>
      <xdr:grpSpPr>
        <a:xfrm>
          <a:off x="6899075" y="6129517"/>
          <a:ext cx="182763" cy="225343"/>
          <a:chOff x="6572251" y="7477594"/>
          <a:chExt cx="223837" cy="280178"/>
        </a:xfrm>
      </xdr:grpSpPr>
      <xdr:sp macro="" textlink="">
        <xdr:nvSpPr>
          <xdr:cNvPr id="260" name="Elipse 259">
            <a:extLst>
              <a:ext uri="{FF2B5EF4-FFF2-40B4-BE49-F238E27FC236}">
                <a16:creationId xmlns:a16="http://schemas.microsoft.com/office/drawing/2014/main" id="{74F39BF1-FE4B-C7F9-C8BC-F628F2DBD17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61" name="CaixaDeTexto 260">
            <a:extLst>
              <a:ext uri="{FF2B5EF4-FFF2-40B4-BE49-F238E27FC236}">
                <a16:creationId xmlns:a16="http://schemas.microsoft.com/office/drawing/2014/main" id="{94655BEB-7B67-431C-7B02-D757FB9C212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27</xdr:row>
      <xdr:rowOff>208213</xdr:rowOff>
    </xdr:from>
    <xdr:to>
      <xdr:col>7</xdr:col>
      <xdr:colOff>205343</xdr:colOff>
      <xdr:row>28</xdr:row>
      <xdr:rowOff>210861</xdr:rowOff>
    </xdr:to>
    <xdr:grpSp>
      <xdr:nvGrpSpPr>
        <xdr:cNvPr id="262" name="Agrupar 261">
          <a:extLst>
            <a:ext uri="{FF2B5EF4-FFF2-40B4-BE49-F238E27FC236}">
              <a16:creationId xmlns:a16="http://schemas.microsoft.com/office/drawing/2014/main" id="{F17B844E-BF67-4585-8B3E-4F08E521DE3B}"/>
            </a:ext>
          </a:extLst>
        </xdr:cNvPr>
        <xdr:cNvGrpSpPr/>
      </xdr:nvGrpSpPr>
      <xdr:grpSpPr>
        <a:xfrm>
          <a:off x="6379010" y="6342795"/>
          <a:ext cx="182763" cy="224496"/>
          <a:chOff x="6572251" y="7468545"/>
          <a:chExt cx="223837" cy="280178"/>
        </a:xfrm>
      </xdr:grpSpPr>
      <xdr:sp macro="" textlink="">
        <xdr:nvSpPr>
          <xdr:cNvPr id="263" name="Elipse 262">
            <a:extLst>
              <a:ext uri="{FF2B5EF4-FFF2-40B4-BE49-F238E27FC236}">
                <a16:creationId xmlns:a16="http://schemas.microsoft.com/office/drawing/2014/main" id="{8327E317-8C0A-E039-E27B-1413CA75A6F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64" name="CaixaDeTexto 263">
            <a:extLst>
              <a:ext uri="{FF2B5EF4-FFF2-40B4-BE49-F238E27FC236}">
                <a16:creationId xmlns:a16="http://schemas.microsoft.com/office/drawing/2014/main" id="{C6BBD136-7DFF-35BC-C204-378625C798F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27</xdr:row>
      <xdr:rowOff>216783</xdr:rowOff>
    </xdr:from>
    <xdr:to>
      <xdr:col>7</xdr:col>
      <xdr:colOff>725408</xdr:colOff>
      <xdr:row>28</xdr:row>
      <xdr:rowOff>220278</xdr:rowOff>
    </xdr:to>
    <xdr:grpSp>
      <xdr:nvGrpSpPr>
        <xdr:cNvPr id="265" name="Agrupar 264">
          <a:extLst>
            <a:ext uri="{FF2B5EF4-FFF2-40B4-BE49-F238E27FC236}">
              <a16:creationId xmlns:a16="http://schemas.microsoft.com/office/drawing/2014/main" id="{245CF840-D47D-4EF8-8BA5-501F63B90FF3}"/>
            </a:ext>
          </a:extLst>
        </xdr:cNvPr>
        <xdr:cNvGrpSpPr/>
      </xdr:nvGrpSpPr>
      <xdr:grpSpPr>
        <a:xfrm>
          <a:off x="6899075" y="6351365"/>
          <a:ext cx="182763" cy="225343"/>
          <a:chOff x="6572251" y="7477594"/>
          <a:chExt cx="223837" cy="280178"/>
        </a:xfrm>
      </xdr:grpSpPr>
      <xdr:sp macro="" textlink="">
        <xdr:nvSpPr>
          <xdr:cNvPr id="266" name="Elipse 265">
            <a:extLst>
              <a:ext uri="{FF2B5EF4-FFF2-40B4-BE49-F238E27FC236}">
                <a16:creationId xmlns:a16="http://schemas.microsoft.com/office/drawing/2014/main" id="{95472B7E-CF44-0C6A-01E3-58C56C67C01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67" name="CaixaDeTexto 266">
            <a:extLst>
              <a:ext uri="{FF2B5EF4-FFF2-40B4-BE49-F238E27FC236}">
                <a16:creationId xmlns:a16="http://schemas.microsoft.com/office/drawing/2014/main" id="{70443294-632F-A8E7-1050-5361A578BE8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28</xdr:row>
      <xdr:rowOff>208213</xdr:rowOff>
    </xdr:from>
    <xdr:to>
      <xdr:col>7</xdr:col>
      <xdr:colOff>205343</xdr:colOff>
      <xdr:row>29</xdr:row>
      <xdr:rowOff>210861</xdr:rowOff>
    </xdr:to>
    <xdr:grpSp>
      <xdr:nvGrpSpPr>
        <xdr:cNvPr id="268" name="Agrupar 267">
          <a:extLst>
            <a:ext uri="{FF2B5EF4-FFF2-40B4-BE49-F238E27FC236}">
              <a16:creationId xmlns:a16="http://schemas.microsoft.com/office/drawing/2014/main" id="{5B8FAE3A-A3BB-4A89-8E4E-D0C0B99264A9}"/>
            </a:ext>
          </a:extLst>
        </xdr:cNvPr>
        <xdr:cNvGrpSpPr/>
      </xdr:nvGrpSpPr>
      <xdr:grpSpPr>
        <a:xfrm>
          <a:off x="6379010" y="6564643"/>
          <a:ext cx="182763" cy="224496"/>
          <a:chOff x="6572251" y="7468545"/>
          <a:chExt cx="223837" cy="280178"/>
        </a:xfrm>
      </xdr:grpSpPr>
      <xdr:sp macro="" textlink="">
        <xdr:nvSpPr>
          <xdr:cNvPr id="269" name="Elipse 268">
            <a:extLst>
              <a:ext uri="{FF2B5EF4-FFF2-40B4-BE49-F238E27FC236}">
                <a16:creationId xmlns:a16="http://schemas.microsoft.com/office/drawing/2014/main" id="{C8271141-2FB0-2FF6-D160-8DFFD9ACB1E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70" name="CaixaDeTexto 269">
            <a:extLst>
              <a:ext uri="{FF2B5EF4-FFF2-40B4-BE49-F238E27FC236}">
                <a16:creationId xmlns:a16="http://schemas.microsoft.com/office/drawing/2014/main" id="{428E00A9-94F9-F221-6662-D573286B721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28</xdr:row>
      <xdr:rowOff>216783</xdr:rowOff>
    </xdr:from>
    <xdr:to>
      <xdr:col>7</xdr:col>
      <xdr:colOff>725408</xdr:colOff>
      <xdr:row>29</xdr:row>
      <xdr:rowOff>220278</xdr:rowOff>
    </xdr:to>
    <xdr:grpSp>
      <xdr:nvGrpSpPr>
        <xdr:cNvPr id="271" name="Agrupar 270">
          <a:extLst>
            <a:ext uri="{FF2B5EF4-FFF2-40B4-BE49-F238E27FC236}">
              <a16:creationId xmlns:a16="http://schemas.microsoft.com/office/drawing/2014/main" id="{D1C20BE2-702E-4985-BA26-59F5F774D2E8}"/>
            </a:ext>
          </a:extLst>
        </xdr:cNvPr>
        <xdr:cNvGrpSpPr/>
      </xdr:nvGrpSpPr>
      <xdr:grpSpPr>
        <a:xfrm>
          <a:off x="6899075" y="6573213"/>
          <a:ext cx="182763" cy="225343"/>
          <a:chOff x="6572251" y="7477594"/>
          <a:chExt cx="223837" cy="280178"/>
        </a:xfrm>
      </xdr:grpSpPr>
      <xdr:sp macro="" textlink="">
        <xdr:nvSpPr>
          <xdr:cNvPr id="272" name="Elipse 271">
            <a:extLst>
              <a:ext uri="{FF2B5EF4-FFF2-40B4-BE49-F238E27FC236}">
                <a16:creationId xmlns:a16="http://schemas.microsoft.com/office/drawing/2014/main" id="{923545D6-C706-6A73-E99C-65472B79F1F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73" name="CaixaDeTexto 272">
            <a:extLst>
              <a:ext uri="{FF2B5EF4-FFF2-40B4-BE49-F238E27FC236}">
                <a16:creationId xmlns:a16="http://schemas.microsoft.com/office/drawing/2014/main" id="{A022502D-9E52-E566-C1E3-5E87C721477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25</xdr:row>
      <xdr:rowOff>208213</xdr:rowOff>
    </xdr:from>
    <xdr:to>
      <xdr:col>7</xdr:col>
      <xdr:colOff>205343</xdr:colOff>
      <xdr:row>26</xdr:row>
      <xdr:rowOff>210861</xdr:rowOff>
    </xdr:to>
    <xdr:grpSp>
      <xdr:nvGrpSpPr>
        <xdr:cNvPr id="274" name="Agrupar 273">
          <a:extLst>
            <a:ext uri="{FF2B5EF4-FFF2-40B4-BE49-F238E27FC236}">
              <a16:creationId xmlns:a16="http://schemas.microsoft.com/office/drawing/2014/main" id="{BA4BDFF7-44F4-4B26-8BB6-3B5E85A32A52}"/>
            </a:ext>
          </a:extLst>
        </xdr:cNvPr>
        <xdr:cNvGrpSpPr/>
      </xdr:nvGrpSpPr>
      <xdr:grpSpPr>
        <a:xfrm>
          <a:off x="6379010" y="5899099"/>
          <a:ext cx="182763" cy="224496"/>
          <a:chOff x="6572251" y="7468545"/>
          <a:chExt cx="223837" cy="280178"/>
        </a:xfrm>
      </xdr:grpSpPr>
      <xdr:sp macro="" textlink="">
        <xdr:nvSpPr>
          <xdr:cNvPr id="275" name="Elipse 274">
            <a:extLst>
              <a:ext uri="{FF2B5EF4-FFF2-40B4-BE49-F238E27FC236}">
                <a16:creationId xmlns:a16="http://schemas.microsoft.com/office/drawing/2014/main" id="{4C35B28E-1947-7271-8922-BB9C6AF27FF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76" name="CaixaDeTexto 275">
            <a:extLst>
              <a:ext uri="{FF2B5EF4-FFF2-40B4-BE49-F238E27FC236}">
                <a16:creationId xmlns:a16="http://schemas.microsoft.com/office/drawing/2014/main" id="{6CBAA099-2547-4F35-03E5-71A1ADBD9CE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25</xdr:row>
      <xdr:rowOff>216783</xdr:rowOff>
    </xdr:from>
    <xdr:to>
      <xdr:col>7</xdr:col>
      <xdr:colOff>725408</xdr:colOff>
      <xdr:row>26</xdr:row>
      <xdr:rowOff>220278</xdr:rowOff>
    </xdr:to>
    <xdr:grpSp>
      <xdr:nvGrpSpPr>
        <xdr:cNvPr id="277" name="Agrupar 276">
          <a:extLst>
            <a:ext uri="{FF2B5EF4-FFF2-40B4-BE49-F238E27FC236}">
              <a16:creationId xmlns:a16="http://schemas.microsoft.com/office/drawing/2014/main" id="{7F325EF0-272D-4EFB-93F5-463445FF7108}"/>
            </a:ext>
          </a:extLst>
        </xdr:cNvPr>
        <xdr:cNvGrpSpPr/>
      </xdr:nvGrpSpPr>
      <xdr:grpSpPr>
        <a:xfrm>
          <a:off x="6899075" y="5907669"/>
          <a:ext cx="182763" cy="225343"/>
          <a:chOff x="6572251" y="7477594"/>
          <a:chExt cx="223837" cy="280178"/>
        </a:xfrm>
      </xdr:grpSpPr>
      <xdr:sp macro="" textlink="">
        <xdr:nvSpPr>
          <xdr:cNvPr id="278" name="Elipse 277">
            <a:extLst>
              <a:ext uri="{FF2B5EF4-FFF2-40B4-BE49-F238E27FC236}">
                <a16:creationId xmlns:a16="http://schemas.microsoft.com/office/drawing/2014/main" id="{EF3379C6-0624-9454-4590-627FF0B3CD3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79" name="CaixaDeTexto 278">
            <a:extLst>
              <a:ext uri="{FF2B5EF4-FFF2-40B4-BE49-F238E27FC236}">
                <a16:creationId xmlns:a16="http://schemas.microsoft.com/office/drawing/2014/main" id="{72C137AA-A254-0D28-4D45-DB05B607EA1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29</xdr:row>
      <xdr:rowOff>208213</xdr:rowOff>
    </xdr:from>
    <xdr:to>
      <xdr:col>7</xdr:col>
      <xdr:colOff>205343</xdr:colOff>
      <xdr:row>30</xdr:row>
      <xdr:rowOff>210861</xdr:rowOff>
    </xdr:to>
    <xdr:grpSp>
      <xdr:nvGrpSpPr>
        <xdr:cNvPr id="316" name="Agrupar 315">
          <a:extLst>
            <a:ext uri="{FF2B5EF4-FFF2-40B4-BE49-F238E27FC236}">
              <a16:creationId xmlns:a16="http://schemas.microsoft.com/office/drawing/2014/main" id="{292C20CC-6096-458D-A845-8039FBA975F3}"/>
            </a:ext>
          </a:extLst>
        </xdr:cNvPr>
        <xdr:cNvGrpSpPr/>
      </xdr:nvGrpSpPr>
      <xdr:grpSpPr>
        <a:xfrm>
          <a:off x="6379010" y="6786491"/>
          <a:ext cx="182763" cy="224497"/>
          <a:chOff x="6572251" y="7468545"/>
          <a:chExt cx="223837" cy="280178"/>
        </a:xfrm>
      </xdr:grpSpPr>
      <xdr:sp macro="" textlink="">
        <xdr:nvSpPr>
          <xdr:cNvPr id="317" name="Elipse 316">
            <a:extLst>
              <a:ext uri="{FF2B5EF4-FFF2-40B4-BE49-F238E27FC236}">
                <a16:creationId xmlns:a16="http://schemas.microsoft.com/office/drawing/2014/main" id="{828101FF-A199-86A6-48DF-5A6CE01C6E0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18" name="CaixaDeTexto 317">
            <a:extLst>
              <a:ext uri="{FF2B5EF4-FFF2-40B4-BE49-F238E27FC236}">
                <a16:creationId xmlns:a16="http://schemas.microsoft.com/office/drawing/2014/main" id="{8D076156-962A-F047-CE61-B349371E5C8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29</xdr:row>
      <xdr:rowOff>216783</xdr:rowOff>
    </xdr:from>
    <xdr:to>
      <xdr:col>7</xdr:col>
      <xdr:colOff>725408</xdr:colOff>
      <xdr:row>30</xdr:row>
      <xdr:rowOff>220278</xdr:rowOff>
    </xdr:to>
    <xdr:grpSp>
      <xdr:nvGrpSpPr>
        <xdr:cNvPr id="319" name="Agrupar 318">
          <a:extLst>
            <a:ext uri="{FF2B5EF4-FFF2-40B4-BE49-F238E27FC236}">
              <a16:creationId xmlns:a16="http://schemas.microsoft.com/office/drawing/2014/main" id="{9EED8DD0-004D-4681-A754-7B40E92C489E}"/>
            </a:ext>
          </a:extLst>
        </xdr:cNvPr>
        <xdr:cNvGrpSpPr/>
      </xdr:nvGrpSpPr>
      <xdr:grpSpPr>
        <a:xfrm>
          <a:off x="6899075" y="6795061"/>
          <a:ext cx="182763" cy="225344"/>
          <a:chOff x="6572251" y="7477594"/>
          <a:chExt cx="223837" cy="280178"/>
        </a:xfrm>
      </xdr:grpSpPr>
      <xdr:sp macro="" textlink="">
        <xdr:nvSpPr>
          <xdr:cNvPr id="320" name="Elipse 319">
            <a:extLst>
              <a:ext uri="{FF2B5EF4-FFF2-40B4-BE49-F238E27FC236}">
                <a16:creationId xmlns:a16="http://schemas.microsoft.com/office/drawing/2014/main" id="{E829539E-8510-423D-F011-AF33529B6C8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21" name="CaixaDeTexto 320">
            <a:extLst>
              <a:ext uri="{FF2B5EF4-FFF2-40B4-BE49-F238E27FC236}">
                <a16:creationId xmlns:a16="http://schemas.microsoft.com/office/drawing/2014/main" id="{3D55BCE6-B0CE-39D5-966B-DFC1E248767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25455</xdr:colOff>
      <xdr:row>3</xdr:row>
      <xdr:rowOff>361368</xdr:rowOff>
    </xdr:from>
    <xdr:to>
      <xdr:col>7</xdr:col>
      <xdr:colOff>208218</xdr:colOff>
      <xdr:row>4</xdr:row>
      <xdr:rowOff>205896</xdr:rowOff>
    </xdr:to>
    <xdr:grpSp>
      <xdr:nvGrpSpPr>
        <xdr:cNvPr id="352" name="Agrupar 351">
          <a:extLst>
            <a:ext uri="{FF2B5EF4-FFF2-40B4-BE49-F238E27FC236}">
              <a16:creationId xmlns:a16="http://schemas.microsoft.com/office/drawing/2014/main" id="{3767B7D5-578E-4ED5-0389-4EF12D326CA1}"/>
            </a:ext>
          </a:extLst>
        </xdr:cNvPr>
        <xdr:cNvGrpSpPr/>
      </xdr:nvGrpSpPr>
      <xdr:grpSpPr>
        <a:xfrm>
          <a:off x="6381885" y="1026912"/>
          <a:ext cx="182763" cy="211060"/>
          <a:chOff x="6572251" y="7468545"/>
          <a:chExt cx="223837" cy="280178"/>
        </a:xfrm>
      </xdr:grpSpPr>
      <xdr:sp macro="" textlink="">
        <xdr:nvSpPr>
          <xdr:cNvPr id="353" name="Elipse 352">
            <a:extLst>
              <a:ext uri="{FF2B5EF4-FFF2-40B4-BE49-F238E27FC236}">
                <a16:creationId xmlns:a16="http://schemas.microsoft.com/office/drawing/2014/main" id="{59093AA5-B4BE-72FD-B1BD-627BA926CE4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54" name="CaixaDeTexto 353">
            <a:extLst>
              <a:ext uri="{FF2B5EF4-FFF2-40B4-BE49-F238E27FC236}">
                <a16:creationId xmlns:a16="http://schemas.microsoft.com/office/drawing/2014/main" id="{3DA77E53-E7B5-7756-1CA1-6E2C18E539B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</xdr:row>
      <xdr:rowOff>362318</xdr:rowOff>
    </xdr:from>
    <xdr:to>
      <xdr:col>7</xdr:col>
      <xdr:colOff>725408</xdr:colOff>
      <xdr:row>4</xdr:row>
      <xdr:rowOff>215313</xdr:rowOff>
    </xdr:to>
    <xdr:grpSp>
      <xdr:nvGrpSpPr>
        <xdr:cNvPr id="355" name="Agrupar 354">
          <a:extLst>
            <a:ext uri="{FF2B5EF4-FFF2-40B4-BE49-F238E27FC236}">
              <a16:creationId xmlns:a16="http://schemas.microsoft.com/office/drawing/2014/main" id="{1ABCAD23-7D20-B20E-A2B6-BB92C935EB38}"/>
            </a:ext>
          </a:extLst>
        </xdr:cNvPr>
        <xdr:cNvGrpSpPr/>
      </xdr:nvGrpSpPr>
      <xdr:grpSpPr>
        <a:xfrm>
          <a:off x="6899075" y="1027862"/>
          <a:ext cx="182763" cy="219527"/>
          <a:chOff x="6572251" y="7477594"/>
          <a:chExt cx="223837" cy="280178"/>
        </a:xfrm>
      </xdr:grpSpPr>
      <xdr:sp macro="" textlink="">
        <xdr:nvSpPr>
          <xdr:cNvPr id="356" name="Elipse 355">
            <a:extLst>
              <a:ext uri="{FF2B5EF4-FFF2-40B4-BE49-F238E27FC236}">
                <a16:creationId xmlns:a16="http://schemas.microsoft.com/office/drawing/2014/main" id="{41AE0C77-E973-0B3E-47DA-584B3DFD529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57" name="CaixaDeTexto 356">
            <a:extLst>
              <a:ext uri="{FF2B5EF4-FFF2-40B4-BE49-F238E27FC236}">
                <a16:creationId xmlns:a16="http://schemas.microsoft.com/office/drawing/2014/main" id="{C480C77C-6D17-BAEA-31E0-FCCBFD47F1E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</xdr:row>
      <xdr:rowOff>208213</xdr:rowOff>
    </xdr:from>
    <xdr:to>
      <xdr:col>7</xdr:col>
      <xdr:colOff>205343</xdr:colOff>
      <xdr:row>11</xdr:row>
      <xdr:rowOff>210861</xdr:rowOff>
    </xdr:to>
    <xdr:grpSp>
      <xdr:nvGrpSpPr>
        <xdr:cNvPr id="358" name="Agrupar 357">
          <a:extLst>
            <a:ext uri="{FF2B5EF4-FFF2-40B4-BE49-F238E27FC236}">
              <a16:creationId xmlns:a16="http://schemas.microsoft.com/office/drawing/2014/main" id="{095E5D9F-0B31-4C7B-962F-69F54C3A3EA3}"/>
            </a:ext>
          </a:extLst>
        </xdr:cNvPr>
        <xdr:cNvGrpSpPr/>
      </xdr:nvGrpSpPr>
      <xdr:grpSpPr>
        <a:xfrm>
          <a:off x="6379010" y="2571378"/>
          <a:ext cx="182763" cy="224496"/>
          <a:chOff x="6572251" y="7468545"/>
          <a:chExt cx="223837" cy="280178"/>
        </a:xfrm>
      </xdr:grpSpPr>
      <xdr:sp macro="" textlink="">
        <xdr:nvSpPr>
          <xdr:cNvPr id="359" name="Elipse 358">
            <a:extLst>
              <a:ext uri="{FF2B5EF4-FFF2-40B4-BE49-F238E27FC236}">
                <a16:creationId xmlns:a16="http://schemas.microsoft.com/office/drawing/2014/main" id="{D3C8E2C9-2A34-2FC5-3726-BC24DC503D3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60" name="CaixaDeTexto 359">
            <a:extLst>
              <a:ext uri="{FF2B5EF4-FFF2-40B4-BE49-F238E27FC236}">
                <a16:creationId xmlns:a16="http://schemas.microsoft.com/office/drawing/2014/main" id="{7D41AF28-CC78-0B80-E2E6-F017915A750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</xdr:row>
      <xdr:rowOff>216783</xdr:rowOff>
    </xdr:from>
    <xdr:to>
      <xdr:col>7</xdr:col>
      <xdr:colOff>725408</xdr:colOff>
      <xdr:row>11</xdr:row>
      <xdr:rowOff>220278</xdr:rowOff>
    </xdr:to>
    <xdr:grpSp>
      <xdr:nvGrpSpPr>
        <xdr:cNvPr id="361" name="Agrupar 360">
          <a:extLst>
            <a:ext uri="{FF2B5EF4-FFF2-40B4-BE49-F238E27FC236}">
              <a16:creationId xmlns:a16="http://schemas.microsoft.com/office/drawing/2014/main" id="{D201B7FF-49ED-49C5-9E7D-3446A51FDCAE}"/>
            </a:ext>
          </a:extLst>
        </xdr:cNvPr>
        <xdr:cNvGrpSpPr/>
      </xdr:nvGrpSpPr>
      <xdr:grpSpPr>
        <a:xfrm>
          <a:off x="6899075" y="2579948"/>
          <a:ext cx="182763" cy="225343"/>
          <a:chOff x="6572251" y="7477594"/>
          <a:chExt cx="223837" cy="280178"/>
        </a:xfrm>
      </xdr:grpSpPr>
      <xdr:sp macro="" textlink="">
        <xdr:nvSpPr>
          <xdr:cNvPr id="362" name="Elipse 361">
            <a:extLst>
              <a:ext uri="{FF2B5EF4-FFF2-40B4-BE49-F238E27FC236}">
                <a16:creationId xmlns:a16="http://schemas.microsoft.com/office/drawing/2014/main" id="{4CDEB1F0-8462-7D6D-BADA-673C767AB39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63" name="CaixaDeTexto 362">
            <a:extLst>
              <a:ext uri="{FF2B5EF4-FFF2-40B4-BE49-F238E27FC236}">
                <a16:creationId xmlns:a16="http://schemas.microsoft.com/office/drawing/2014/main" id="{31E8137C-B8FB-A099-CED9-F8FC9AB984F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</xdr:row>
      <xdr:rowOff>208213</xdr:rowOff>
    </xdr:from>
    <xdr:to>
      <xdr:col>7</xdr:col>
      <xdr:colOff>205343</xdr:colOff>
      <xdr:row>10</xdr:row>
      <xdr:rowOff>210861</xdr:rowOff>
    </xdr:to>
    <xdr:grpSp>
      <xdr:nvGrpSpPr>
        <xdr:cNvPr id="364" name="Agrupar 363">
          <a:extLst>
            <a:ext uri="{FF2B5EF4-FFF2-40B4-BE49-F238E27FC236}">
              <a16:creationId xmlns:a16="http://schemas.microsoft.com/office/drawing/2014/main" id="{D5DCCAB0-EABB-4DED-9E96-305BD46CE4CF}"/>
            </a:ext>
          </a:extLst>
        </xdr:cNvPr>
        <xdr:cNvGrpSpPr/>
      </xdr:nvGrpSpPr>
      <xdr:grpSpPr>
        <a:xfrm>
          <a:off x="6379010" y="2349529"/>
          <a:ext cx="182763" cy="224497"/>
          <a:chOff x="6572251" y="7468545"/>
          <a:chExt cx="223837" cy="280178"/>
        </a:xfrm>
      </xdr:grpSpPr>
      <xdr:sp macro="" textlink="">
        <xdr:nvSpPr>
          <xdr:cNvPr id="365" name="Elipse 364">
            <a:extLst>
              <a:ext uri="{FF2B5EF4-FFF2-40B4-BE49-F238E27FC236}">
                <a16:creationId xmlns:a16="http://schemas.microsoft.com/office/drawing/2014/main" id="{DA13A017-9F60-606F-CE5A-08B59B4CC54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66" name="CaixaDeTexto 365">
            <a:extLst>
              <a:ext uri="{FF2B5EF4-FFF2-40B4-BE49-F238E27FC236}">
                <a16:creationId xmlns:a16="http://schemas.microsoft.com/office/drawing/2014/main" id="{327F1E7E-7FAC-039A-A60E-E1E364CE8C3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</xdr:row>
      <xdr:rowOff>216783</xdr:rowOff>
    </xdr:from>
    <xdr:to>
      <xdr:col>7</xdr:col>
      <xdr:colOff>725408</xdr:colOff>
      <xdr:row>10</xdr:row>
      <xdr:rowOff>220278</xdr:rowOff>
    </xdr:to>
    <xdr:grpSp>
      <xdr:nvGrpSpPr>
        <xdr:cNvPr id="367" name="Agrupar 366">
          <a:extLst>
            <a:ext uri="{FF2B5EF4-FFF2-40B4-BE49-F238E27FC236}">
              <a16:creationId xmlns:a16="http://schemas.microsoft.com/office/drawing/2014/main" id="{55BD4038-F0AF-49DC-A150-6C1E7554D0F0}"/>
            </a:ext>
          </a:extLst>
        </xdr:cNvPr>
        <xdr:cNvGrpSpPr/>
      </xdr:nvGrpSpPr>
      <xdr:grpSpPr>
        <a:xfrm>
          <a:off x="6899075" y="2358099"/>
          <a:ext cx="182763" cy="225344"/>
          <a:chOff x="6572251" y="7477594"/>
          <a:chExt cx="223837" cy="280178"/>
        </a:xfrm>
      </xdr:grpSpPr>
      <xdr:sp macro="" textlink="">
        <xdr:nvSpPr>
          <xdr:cNvPr id="368" name="Elipse 367">
            <a:extLst>
              <a:ext uri="{FF2B5EF4-FFF2-40B4-BE49-F238E27FC236}">
                <a16:creationId xmlns:a16="http://schemas.microsoft.com/office/drawing/2014/main" id="{01F3C323-9D7F-CA01-87F2-9BDE978E0B4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69" name="CaixaDeTexto 368">
            <a:extLst>
              <a:ext uri="{FF2B5EF4-FFF2-40B4-BE49-F238E27FC236}">
                <a16:creationId xmlns:a16="http://schemas.microsoft.com/office/drawing/2014/main" id="{D3F44BA1-F121-762F-BAB8-0C95582F512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</xdr:row>
      <xdr:rowOff>208213</xdr:rowOff>
    </xdr:from>
    <xdr:to>
      <xdr:col>7</xdr:col>
      <xdr:colOff>205343</xdr:colOff>
      <xdr:row>6</xdr:row>
      <xdr:rowOff>210861</xdr:rowOff>
    </xdr:to>
    <xdr:grpSp>
      <xdr:nvGrpSpPr>
        <xdr:cNvPr id="370" name="Agrupar 369">
          <a:extLst>
            <a:ext uri="{FF2B5EF4-FFF2-40B4-BE49-F238E27FC236}">
              <a16:creationId xmlns:a16="http://schemas.microsoft.com/office/drawing/2014/main" id="{F4507D2D-2868-43D8-A4AE-58289EB04E8D}"/>
            </a:ext>
          </a:extLst>
        </xdr:cNvPr>
        <xdr:cNvGrpSpPr/>
      </xdr:nvGrpSpPr>
      <xdr:grpSpPr>
        <a:xfrm>
          <a:off x="6379010" y="1462137"/>
          <a:ext cx="182763" cy="224496"/>
          <a:chOff x="6572251" y="7468545"/>
          <a:chExt cx="223837" cy="280178"/>
        </a:xfrm>
      </xdr:grpSpPr>
      <xdr:sp macro="" textlink="">
        <xdr:nvSpPr>
          <xdr:cNvPr id="371" name="Elipse 370">
            <a:extLst>
              <a:ext uri="{FF2B5EF4-FFF2-40B4-BE49-F238E27FC236}">
                <a16:creationId xmlns:a16="http://schemas.microsoft.com/office/drawing/2014/main" id="{091DAF20-3577-4743-2694-4AE6AC4986C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72" name="CaixaDeTexto 371">
            <a:extLst>
              <a:ext uri="{FF2B5EF4-FFF2-40B4-BE49-F238E27FC236}">
                <a16:creationId xmlns:a16="http://schemas.microsoft.com/office/drawing/2014/main" id="{15188B88-408F-6B34-2D8E-DD0B330C5E1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</xdr:row>
      <xdr:rowOff>216783</xdr:rowOff>
    </xdr:from>
    <xdr:to>
      <xdr:col>7</xdr:col>
      <xdr:colOff>725408</xdr:colOff>
      <xdr:row>6</xdr:row>
      <xdr:rowOff>220278</xdr:rowOff>
    </xdr:to>
    <xdr:grpSp>
      <xdr:nvGrpSpPr>
        <xdr:cNvPr id="373" name="Agrupar 372">
          <a:extLst>
            <a:ext uri="{FF2B5EF4-FFF2-40B4-BE49-F238E27FC236}">
              <a16:creationId xmlns:a16="http://schemas.microsoft.com/office/drawing/2014/main" id="{5131416E-0967-4290-A600-98C835B2951F}"/>
            </a:ext>
          </a:extLst>
        </xdr:cNvPr>
        <xdr:cNvGrpSpPr/>
      </xdr:nvGrpSpPr>
      <xdr:grpSpPr>
        <a:xfrm>
          <a:off x="6899075" y="1470707"/>
          <a:ext cx="182763" cy="225343"/>
          <a:chOff x="6572251" y="7477594"/>
          <a:chExt cx="223837" cy="280178"/>
        </a:xfrm>
      </xdr:grpSpPr>
      <xdr:sp macro="" textlink="">
        <xdr:nvSpPr>
          <xdr:cNvPr id="374" name="Elipse 373">
            <a:extLst>
              <a:ext uri="{FF2B5EF4-FFF2-40B4-BE49-F238E27FC236}">
                <a16:creationId xmlns:a16="http://schemas.microsoft.com/office/drawing/2014/main" id="{B95AC0ED-8B58-E47D-9583-82F240332E0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75" name="CaixaDeTexto 374">
            <a:extLst>
              <a:ext uri="{FF2B5EF4-FFF2-40B4-BE49-F238E27FC236}">
                <a16:creationId xmlns:a16="http://schemas.microsoft.com/office/drawing/2014/main" id="{24475710-E8E5-42A3-9F74-CA5D8461E96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</xdr:row>
      <xdr:rowOff>208213</xdr:rowOff>
    </xdr:from>
    <xdr:to>
      <xdr:col>7</xdr:col>
      <xdr:colOff>205343</xdr:colOff>
      <xdr:row>5</xdr:row>
      <xdr:rowOff>210861</xdr:rowOff>
    </xdr:to>
    <xdr:grpSp>
      <xdr:nvGrpSpPr>
        <xdr:cNvPr id="376" name="Agrupar 375">
          <a:extLst>
            <a:ext uri="{FF2B5EF4-FFF2-40B4-BE49-F238E27FC236}">
              <a16:creationId xmlns:a16="http://schemas.microsoft.com/office/drawing/2014/main" id="{D85B8EFB-B628-401C-BE4D-8364A3030793}"/>
            </a:ext>
          </a:extLst>
        </xdr:cNvPr>
        <xdr:cNvGrpSpPr/>
      </xdr:nvGrpSpPr>
      <xdr:grpSpPr>
        <a:xfrm>
          <a:off x="6379010" y="1240289"/>
          <a:ext cx="182763" cy="224496"/>
          <a:chOff x="6572251" y="7468545"/>
          <a:chExt cx="223837" cy="280178"/>
        </a:xfrm>
      </xdr:grpSpPr>
      <xdr:sp macro="" textlink="">
        <xdr:nvSpPr>
          <xdr:cNvPr id="377" name="Elipse 376">
            <a:extLst>
              <a:ext uri="{FF2B5EF4-FFF2-40B4-BE49-F238E27FC236}">
                <a16:creationId xmlns:a16="http://schemas.microsoft.com/office/drawing/2014/main" id="{7E00613C-3736-EE96-D158-62024B60E6A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78" name="CaixaDeTexto 377">
            <a:extLst>
              <a:ext uri="{FF2B5EF4-FFF2-40B4-BE49-F238E27FC236}">
                <a16:creationId xmlns:a16="http://schemas.microsoft.com/office/drawing/2014/main" id="{890DE4BC-E7E5-38A6-3D7D-DF6662D3032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</xdr:row>
      <xdr:rowOff>216783</xdr:rowOff>
    </xdr:from>
    <xdr:to>
      <xdr:col>7</xdr:col>
      <xdr:colOff>725408</xdr:colOff>
      <xdr:row>5</xdr:row>
      <xdr:rowOff>220278</xdr:rowOff>
    </xdr:to>
    <xdr:grpSp>
      <xdr:nvGrpSpPr>
        <xdr:cNvPr id="379" name="Agrupar 378">
          <a:extLst>
            <a:ext uri="{FF2B5EF4-FFF2-40B4-BE49-F238E27FC236}">
              <a16:creationId xmlns:a16="http://schemas.microsoft.com/office/drawing/2014/main" id="{B314E085-5687-4086-8DAA-CBF0418D185F}"/>
            </a:ext>
          </a:extLst>
        </xdr:cNvPr>
        <xdr:cNvGrpSpPr/>
      </xdr:nvGrpSpPr>
      <xdr:grpSpPr>
        <a:xfrm>
          <a:off x="6899075" y="1248859"/>
          <a:ext cx="182763" cy="225343"/>
          <a:chOff x="6572251" y="7477594"/>
          <a:chExt cx="223837" cy="280178"/>
        </a:xfrm>
      </xdr:grpSpPr>
      <xdr:sp macro="" textlink="">
        <xdr:nvSpPr>
          <xdr:cNvPr id="380" name="Elipse 379">
            <a:extLst>
              <a:ext uri="{FF2B5EF4-FFF2-40B4-BE49-F238E27FC236}">
                <a16:creationId xmlns:a16="http://schemas.microsoft.com/office/drawing/2014/main" id="{0247921E-24B0-0282-167C-8AB65EA05CC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81" name="CaixaDeTexto 380">
            <a:extLst>
              <a:ext uri="{FF2B5EF4-FFF2-40B4-BE49-F238E27FC236}">
                <a16:creationId xmlns:a16="http://schemas.microsoft.com/office/drawing/2014/main" id="{46EAA86A-29D8-A3E4-D1BF-70A870355CF8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</xdr:row>
      <xdr:rowOff>208213</xdr:rowOff>
    </xdr:from>
    <xdr:to>
      <xdr:col>7</xdr:col>
      <xdr:colOff>205343</xdr:colOff>
      <xdr:row>5</xdr:row>
      <xdr:rowOff>210861</xdr:rowOff>
    </xdr:to>
    <xdr:grpSp>
      <xdr:nvGrpSpPr>
        <xdr:cNvPr id="382" name="Agrupar 381">
          <a:extLst>
            <a:ext uri="{FF2B5EF4-FFF2-40B4-BE49-F238E27FC236}">
              <a16:creationId xmlns:a16="http://schemas.microsoft.com/office/drawing/2014/main" id="{F51B8ED4-B455-4586-AE39-2773ED5A056F}"/>
            </a:ext>
          </a:extLst>
        </xdr:cNvPr>
        <xdr:cNvGrpSpPr/>
      </xdr:nvGrpSpPr>
      <xdr:grpSpPr>
        <a:xfrm>
          <a:off x="6379010" y="1240289"/>
          <a:ext cx="182763" cy="224496"/>
          <a:chOff x="6572251" y="7468545"/>
          <a:chExt cx="223837" cy="280178"/>
        </a:xfrm>
      </xdr:grpSpPr>
      <xdr:sp macro="" textlink="">
        <xdr:nvSpPr>
          <xdr:cNvPr id="383" name="Elipse 382">
            <a:extLst>
              <a:ext uri="{FF2B5EF4-FFF2-40B4-BE49-F238E27FC236}">
                <a16:creationId xmlns:a16="http://schemas.microsoft.com/office/drawing/2014/main" id="{95E48819-277C-F370-D9C2-5368D66874D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84" name="CaixaDeTexto 383">
            <a:extLst>
              <a:ext uri="{FF2B5EF4-FFF2-40B4-BE49-F238E27FC236}">
                <a16:creationId xmlns:a16="http://schemas.microsoft.com/office/drawing/2014/main" id="{B26BE40B-451A-F7BF-A7D6-3DA855AE4AC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</xdr:row>
      <xdr:rowOff>216783</xdr:rowOff>
    </xdr:from>
    <xdr:to>
      <xdr:col>7</xdr:col>
      <xdr:colOff>725408</xdr:colOff>
      <xdr:row>5</xdr:row>
      <xdr:rowOff>220278</xdr:rowOff>
    </xdr:to>
    <xdr:grpSp>
      <xdr:nvGrpSpPr>
        <xdr:cNvPr id="385" name="Agrupar 384">
          <a:extLst>
            <a:ext uri="{FF2B5EF4-FFF2-40B4-BE49-F238E27FC236}">
              <a16:creationId xmlns:a16="http://schemas.microsoft.com/office/drawing/2014/main" id="{42F886E6-6624-42EB-B3A3-7DA0F27A55BD}"/>
            </a:ext>
          </a:extLst>
        </xdr:cNvPr>
        <xdr:cNvGrpSpPr/>
      </xdr:nvGrpSpPr>
      <xdr:grpSpPr>
        <a:xfrm>
          <a:off x="6899075" y="1248859"/>
          <a:ext cx="182763" cy="225343"/>
          <a:chOff x="6572251" y="7477594"/>
          <a:chExt cx="223837" cy="280178"/>
        </a:xfrm>
      </xdr:grpSpPr>
      <xdr:sp macro="" textlink="">
        <xdr:nvSpPr>
          <xdr:cNvPr id="386" name="Elipse 385">
            <a:extLst>
              <a:ext uri="{FF2B5EF4-FFF2-40B4-BE49-F238E27FC236}">
                <a16:creationId xmlns:a16="http://schemas.microsoft.com/office/drawing/2014/main" id="{E056F699-8D3E-DA9F-4BEA-B448E7B94DE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87" name="CaixaDeTexto 386">
            <a:extLst>
              <a:ext uri="{FF2B5EF4-FFF2-40B4-BE49-F238E27FC236}">
                <a16:creationId xmlns:a16="http://schemas.microsoft.com/office/drawing/2014/main" id="{52C85753-D99C-B700-F331-7968CDA1B79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14</xdr:row>
      <xdr:rowOff>208213</xdr:rowOff>
    </xdr:from>
    <xdr:to>
      <xdr:col>7</xdr:col>
      <xdr:colOff>205343</xdr:colOff>
      <xdr:row>15</xdr:row>
      <xdr:rowOff>210861</xdr:rowOff>
    </xdr:to>
    <xdr:grpSp>
      <xdr:nvGrpSpPr>
        <xdr:cNvPr id="388" name="Agrupar 387">
          <a:extLst>
            <a:ext uri="{FF2B5EF4-FFF2-40B4-BE49-F238E27FC236}">
              <a16:creationId xmlns:a16="http://schemas.microsoft.com/office/drawing/2014/main" id="{8AE8BCA0-D952-41B4-890B-C52049B3F4EA}"/>
            </a:ext>
          </a:extLst>
        </xdr:cNvPr>
        <xdr:cNvGrpSpPr/>
      </xdr:nvGrpSpPr>
      <xdr:grpSpPr>
        <a:xfrm>
          <a:off x="6379010" y="3458770"/>
          <a:ext cx="182763" cy="224496"/>
          <a:chOff x="6572251" y="7468545"/>
          <a:chExt cx="223837" cy="280178"/>
        </a:xfrm>
      </xdr:grpSpPr>
      <xdr:sp macro="" textlink="">
        <xdr:nvSpPr>
          <xdr:cNvPr id="389" name="Elipse 388">
            <a:extLst>
              <a:ext uri="{FF2B5EF4-FFF2-40B4-BE49-F238E27FC236}">
                <a16:creationId xmlns:a16="http://schemas.microsoft.com/office/drawing/2014/main" id="{3E1839F2-1B15-100A-CE08-C3D9A70F3A6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90" name="CaixaDeTexto 389">
            <a:extLst>
              <a:ext uri="{FF2B5EF4-FFF2-40B4-BE49-F238E27FC236}">
                <a16:creationId xmlns:a16="http://schemas.microsoft.com/office/drawing/2014/main" id="{3720FCA2-CE70-44F0-4391-EA1EAF5B22CC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14</xdr:row>
      <xdr:rowOff>216783</xdr:rowOff>
    </xdr:from>
    <xdr:to>
      <xdr:col>7</xdr:col>
      <xdr:colOff>725408</xdr:colOff>
      <xdr:row>15</xdr:row>
      <xdr:rowOff>220278</xdr:rowOff>
    </xdr:to>
    <xdr:grpSp>
      <xdr:nvGrpSpPr>
        <xdr:cNvPr id="391" name="Agrupar 390">
          <a:extLst>
            <a:ext uri="{FF2B5EF4-FFF2-40B4-BE49-F238E27FC236}">
              <a16:creationId xmlns:a16="http://schemas.microsoft.com/office/drawing/2014/main" id="{4324F4BB-E234-41ED-A95F-EBA11A50BF8B}"/>
            </a:ext>
          </a:extLst>
        </xdr:cNvPr>
        <xdr:cNvGrpSpPr/>
      </xdr:nvGrpSpPr>
      <xdr:grpSpPr>
        <a:xfrm>
          <a:off x="6899075" y="3467340"/>
          <a:ext cx="182763" cy="225343"/>
          <a:chOff x="6572251" y="7477594"/>
          <a:chExt cx="223837" cy="280178"/>
        </a:xfrm>
      </xdr:grpSpPr>
      <xdr:sp macro="" textlink="">
        <xdr:nvSpPr>
          <xdr:cNvPr id="392" name="Elipse 391">
            <a:extLst>
              <a:ext uri="{FF2B5EF4-FFF2-40B4-BE49-F238E27FC236}">
                <a16:creationId xmlns:a16="http://schemas.microsoft.com/office/drawing/2014/main" id="{C9E005FB-3087-9D94-DB7F-53D2C384F08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93" name="CaixaDeTexto 392">
            <a:extLst>
              <a:ext uri="{FF2B5EF4-FFF2-40B4-BE49-F238E27FC236}">
                <a16:creationId xmlns:a16="http://schemas.microsoft.com/office/drawing/2014/main" id="{E9FA13D1-AD4E-83D0-D8C7-37E3A48C548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20</xdr:row>
      <xdr:rowOff>208213</xdr:rowOff>
    </xdr:from>
    <xdr:to>
      <xdr:col>7</xdr:col>
      <xdr:colOff>205343</xdr:colOff>
      <xdr:row>21</xdr:row>
      <xdr:rowOff>210861</xdr:rowOff>
    </xdr:to>
    <xdr:grpSp>
      <xdr:nvGrpSpPr>
        <xdr:cNvPr id="394" name="Agrupar 393">
          <a:extLst>
            <a:ext uri="{FF2B5EF4-FFF2-40B4-BE49-F238E27FC236}">
              <a16:creationId xmlns:a16="http://schemas.microsoft.com/office/drawing/2014/main" id="{4FF99C13-FBC6-49DD-A9D2-033830CD26C5}"/>
            </a:ext>
          </a:extLst>
        </xdr:cNvPr>
        <xdr:cNvGrpSpPr/>
      </xdr:nvGrpSpPr>
      <xdr:grpSpPr>
        <a:xfrm>
          <a:off x="6379010" y="4789859"/>
          <a:ext cx="182763" cy="224496"/>
          <a:chOff x="6572251" y="7468545"/>
          <a:chExt cx="223837" cy="280178"/>
        </a:xfrm>
      </xdr:grpSpPr>
      <xdr:sp macro="" textlink="">
        <xdr:nvSpPr>
          <xdr:cNvPr id="395" name="Elipse 394">
            <a:extLst>
              <a:ext uri="{FF2B5EF4-FFF2-40B4-BE49-F238E27FC236}">
                <a16:creationId xmlns:a16="http://schemas.microsoft.com/office/drawing/2014/main" id="{4988724D-7123-F09A-4409-E8A08FDAE68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96" name="CaixaDeTexto 395">
            <a:extLst>
              <a:ext uri="{FF2B5EF4-FFF2-40B4-BE49-F238E27FC236}">
                <a16:creationId xmlns:a16="http://schemas.microsoft.com/office/drawing/2014/main" id="{F543B063-0481-4972-B934-F001F1CBE66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20</xdr:row>
      <xdr:rowOff>216783</xdr:rowOff>
    </xdr:from>
    <xdr:to>
      <xdr:col>7</xdr:col>
      <xdr:colOff>725408</xdr:colOff>
      <xdr:row>21</xdr:row>
      <xdr:rowOff>220278</xdr:rowOff>
    </xdr:to>
    <xdr:grpSp>
      <xdr:nvGrpSpPr>
        <xdr:cNvPr id="397" name="Agrupar 396">
          <a:extLst>
            <a:ext uri="{FF2B5EF4-FFF2-40B4-BE49-F238E27FC236}">
              <a16:creationId xmlns:a16="http://schemas.microsoft.com/office/drawing/2014/main" id="{9870DAA2-3937-43D3-8D42-667B931A14F7}"/>
            </a:ext>
          </a:extLst>
        </xdr:cNvPr>
        <xdr:cNvGrpSpPr/>
      </xdr:nvGrpSpPr>
      <xdr:grpSpPr>
        <a:xfrm>
          <a:off x="6899075" y="4798429"/>
          <a:ext cx="182763" cy="225343"/>
          <a:chOff x="6572251" y="7477594"/>
          <a:chExt cx="223837" cy="280178"/>
        </a:xfrm>
      </xdr:grpSpPr>
      <xdr:sp macro="" textlink="">
        <xdr:nvSpPr>
          <xdr:cNvPr id="398" name="Elipse 397">
            <a:extLst>
              <a:ext uri="{FF2B5EF4-FFF2-40B4-BE49-F238E27FC236}">
                <a16:creationId xmlns:a16="http://schemas.microsoft.com/office/drawing/2014/main" id="{D743EF24-33E9-D64A-B790-A1CDFCF3719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99" name="CaixaDeTexto 398">
            <a:extLst>
              <a:ext uri="{FF2B5EF4-FFF2-40B4-BE49-F238E27FC236}">
                <a16:creationId xmlns:a16="http://schemas.microsoft.com/office/drawing/2014/main" id="{90170635-A3A2-D3EF-3B28-9026DEF78A6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19</xdr:row>
      <xdr:rowOff>208213</xdr:rowOff>
    </xdr:from>
    <xdr:to>
      <xdr:col>7</xdr:col>
      <xdr:colOff>205343</xdr:colOff>
      <xdr:row>20</xdr:row>
      <xdr:rowOff>210861</xdr:rowOff>
    </xdr:to>
    <xdr:grpSp>
      <xdr:nvGrpSpPr>
        <xdr:cNvPr id="400" name="Agrupar 399">
          <a:extLst>
            <a:ext uri="{FF2B5EF4-FFF2-40B4-BE49-F238E27FC236}">
              <a16:creationId xmlns:a16="http://schemas.microsoft.com/office/drawing/2014/main" id="{72926B34-4E53-41E2-B362-DA9286A843B7}"/>
            </a:ext>
          </a:extLst>
        </xdr:cNvPr>
        <xdr:cNvGrpSpPr/>
      </xdr:nvGrpSpPr>
      <xdr:grpSpPr>
        <a:xfrm>
          <a:off x="6379010" y="4568010"/>
          <a:ext cx="182763" cy="224497"/>
          <a:chOff x="6572251" y="7468545"/>
          <a:chExt cx="223837" cy="280178"/>
        </a:xfrm>
      </xdr:grpSpPr>
      <xdr:sp macro="" textlink="">
        <xdr:nvSpPr>
          <xdr:cNvPr id="401" name="Elipse 400">
            <a:extLst>
              <a:ext uri="{FF2B5EF4-FFF2-40B4-BE49-F238E27FC236}">
                <a16:creationId xmlns:a16="http://schemas.microsoft.com/office/drawing/2014/main" id="{B86E2D8B-A2D8-8F8D-4B88-845B3EFF491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02" name="CaixaDeTexto 401">
            <a:extLst>
              <a:ext uri="{FF2B5EF4-FFF2-40B4-BE49-F238E27FC236}">
                <a16:creationId xmlns:a16="http://schemas.microsoft.com/office/drawing/2014/main" id="{EB83E1E7-BEA7-9AC7-A181-35D789E464C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19</xdr:row>
      <xdr:rowOff>216783</xdr:rowOff>
    </xdr:from>
    <xdr:to>
      <xdr:col>7</xdr:col>
      <xdr:colOff>725408</xdr:colOff>
      <xdr:row>20</xdr:row>
      <xdr:rowOff>220278</xdr:rowOff>
    </xdr:to>
    <xdr:grpSp>
      <xdr:nvGrpSpPr>
        <xdr:cNvPr id="403" name="Agrupar 402">
          <a:extLst>
            <a:ext uri="{FF2B5EF4-FFF2-40B4-BE49-F238E27FC236}">
              <a16:creationId xmlns:a16="http://schemas.microsoft.com/office/drawing/2014/main" id="{EE72948E-DCDE-45D2-AE97-70C62F8A580C}"/>
            </a:ext>
          </a:extLst>
        </xdr:cNvPr>
        <xdr:cNvGrpSpPr/>
      </xdr:nvGrpSpPr>
      <xdr:grpSpPr>
        <a:xfrm>
          <a:off x="6899075" y="4576580"/>
          <a:ext cx="182763" cy="225344"/>
          <a:chOff x="6572251" y="7477594"/>
          <a:chExt cx="223837" cy="280178"/>
        </a:xfrm>
      </xdr:grpSpPr>
      <xdr:sp macro="" textlink="">
        <xdr:nvSpPr>
          <xdr:cNvPr id="404" name="Elipse 403">
            <a:extLst>
              <a:ext uri="{FF2B5EF4-FFF2-40B4-BE49-F238E27FC236}">
                <a16:creationId xmlns:a16="http://schemas.microsoft.com/office/drawing/2014/main" id="{A3882861-18C1-9B64-B795-DA9F64363F7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05" name="CaixaDeTexto 404">
            <a:extLst>
              <a:ext uri="{FF2B5EF4-FFF2-40B4-BE49-F238E27FC236}">
                <a16:creationId xmlns:a16="http://schemas.microsoft.com/office/drawing/2014/main" id="{B85CC0E9-084C-54CF-DA68-9E95672CB65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25</xdr:row>
      <xdr:rowOff>208213</xdr:rowOff>
    </xdr:from>
    <xdr:to>
      <xdr:col>7</xdr:col>
      <xdr:colOff>205343</xdr:colOff>
      <xdr:row>26</xdr:row>
      <xdr:rowOff>210861</xdr:rowOff>
    </xdr:to>
    <xdr:grpSp>
      <xdr:nvGrpSpPr>
        <xdr:cNvPr id="406" name="Agrupar 405">
          <a:extLst>
            <a:ext uri="{FF2B5EF4-FFF2-40B4-BE49-F238E27FC236}">
              <a16:creationId xmlns:a16="http://schemas.microsoft.com/office/drawing/2014/main" id="{7519FB33-9169-458F-AB55-E66252BB88D7}"/>
            </a:ext>
          </a:extLst>
        </xdr:cNvPr>
        <xdr:cNvGrpSpPr/>
      </xdr:nvGrpSpPr>
      <xdr:grpSpPr>
        <a:xfrm>
          <a:off x="6379010" y="5899099"/>
          <a:ext cx="182763" cy="224496"/>
          <a:chOff x="6572251" y="7468545"/>
          <a:chExt cx="223837" cy="280178"/>
        </a:xfrm>
      </xdr:grpSpPr>
      <xdr:sp macro="" textlink="">
        <xdr:nvSpPr>
          <xdr:cNvPr id="407" name="Elipse 406">
            <a:extLst>
              <a:ext uri="{FF2B5EF4-FFF2-40B4-BE49-F238E27FC236}">
                <a16:creationId xmlns:a16="http://schemas.microsoft.com/office/drawing/2014/main" id="{9465A040-797E-A70A-545C-BA5E75E91C0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08" name="CaixaDeTexto 407">
            <a:extLst>
              <a:ext uri="{FF2B5EF4-FFF2-40B4-BE49-F238E27FC236}">
                <a16:creationId xmlns:a16="http://schemas.microsoft.com/office/drawing/2014/main" id="{523274DE-6C80-5AE8-DF79-B4D9CD99691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25</xdr:row>
      <xdr:rowOff>216783</xdr:rowOff>
    </xdr:from>
    <xdr:to>
      <xdr:col>7</xdr:col>
      <xdr:colOff>725408</xdr:colOff>
      <xdr:row>26</xdr:row>
      <xdr:rowOff>220278</xdr:rowOff>
    </xdr:to>
    <xdr:grpSp>
      <xdr:nvGrpSpPr>
        <xdr:cNvPr id="409" name="Agrupar 408">
          <a:extLst>
            <a:ext uri="{FF2B5EF4-FFF2-40B4-BE49-F238E27FC236}">
              <a16:creationId xmlns:a16="http://schemas.microsoft.com/office/drawing/2014/main" id="{C14A918C-3E71-46B5-AFB3-06AEF1381D4E}"/>
            </a:ext>
          </a:extLst>
        </xdr:cNvPr>
        <xdr:cNvGrpSpPr/>
      </xdr:nvGrpSpPr>
      <xdr:grpSpPr>
        <a:xfrm>
          <a:off x="6899075" y="5907669"/>
          <a:ext cx="182763" cy="225343"/>
          <a:chOff x="6572251" y="7477594"/>
          <a:chExt cx="223837" cy="280178"/>
        </a:xfrm>
      </xdr:grpSpPr>
      <xdr:sp macro="" textlink="">
        <xdr:nvSpPr>
          <xdr:cNvPr id="410" name="Elipse 409">
            <a:extLst>
              <a:ext uri="{FF2B5EF4-FFF2-40B4-BE49-F238E27FC236}">
                <a16:creationId xmlns:a16="http://schemas.microsoft.com/office/drawing/2014/main" id="{0E2F8AB7-CFC8-BE78-18C5-0BF805FEF2F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11" name="CaixaDeTexto 410">
            <a:extLst>
              <a:ext uri="{FF2B5EF4-FFF2-40B4-BE49-F238E27FC236}">
                <a16:creationId xmlns:a16="http://schemas.microsoft.com/office/drawing/2014/main" id="{2F650BFA-512A-899B-41C2-5CDFC066BAA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24</xdr:row>
      <xdr:rowOff>208213</xdr:rowOff>
    </xdr:from>
    <xdr:to>
      <xdr:col>7</xdr:col>
      <xdr:colOff>205343</xdr:colOff>
      <xdr:row>25</xdr:row>
      <xdr:rowOff>210861</xdr:rowOff>
    </xdr:to>
    <xdr:grpSp>
      <xdr:nvGrpSpPr>
        <xdr:cNvPr id="412" name="Agrupar 411">
          <a:extLst>
            <a:ext uri="{FF2B5EF4-FFF2-40B4-BE49-F238E27FC236}">
              <a16:creationId xmlns:a16="http://schemas.microsoft.com/office/drawing/2014/main" id="{813E3A88-EFD9-47FC-8CDA-0E01B29CDE71}"/>
            </a:ext>
          </a:extLst>
        </xdr:cNvPr>
        <xdr:cNvGrpSpPr/>
      </xdr:nvGrpSpPr>
      <xdr:grpSpPr>
        <a:xfrm>
          <a:off x="6379010" y="5677251"/>
          <a:ext cx="182763" cy="224496"/>
          <a:chOff x="6572251" y="7468545"/>
          <a:chExt cx="223837" cy="280178"/>
        </a:xfrm>
      </xdr:grpSpPr>
      <xdr:sp macro="" textlink="">
        <xdr:nvSpPr>
          <xdr:cNvPr id="413" name="Elipse 412">
            <a:extLst>
              <a:ext uri="{FF2B5EF4-FFF2-40B4-BE49-F238E27FC236}">
                <a16:creationId xmlns:a16="http://schemas.microsoft.com/office/drawing/2014/main" id="{506648DD-D683-4A2B-0728-914B7C5ADD8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14" name="CaixaDeTexto 413">
            <a:extLst>
              <a:ext uri="{FF2B5EF4-FFF2-40B4-BE49-F238E27FC236}">
                <a16:creationId xmlns:a16="http://schemas.microsoft.com/office/drawing/2014/main" id="{17CE69DC-2B49-F818-8E5C-20047A4ED92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24</xdr:row>
      <xdr:rowOff>216783</xdr:rowOff>
    </xdr:from>
    <xdr:to>
      <xdr:col>7</xdr:col>
      <xdr:colOff>725408</xdr:colOff>
      <xdr:row>25</xdr:row>
      <xdr:rowOff>220278</xdr:rowOff>
    </xdr:to>
    <xdr:grpSp>
      <xdr:nvGrpSpPr>
        <xdr:cNvPr id="415" name="Agrupar 414">
          <a:extLst>
            <a:ext uri="{FF2B5EF4-FFF2-40B4-BE49-F238E27FC236}">
              <a16:creationId xmlns:a16="http://schemas.microsoft.com/office/drawing/2014/main" id="{3B86BE88-DB86-4516-B042-D5C095373883}"/>
            </a:ext>
          </a:extLst>
        </xdr:cNvPr>
        <xdr:cNvGrpSpPr/>
      </xdr:nvGrpSpPr>
      <xdr:grpSpPr>
        <a:xfrm>
          <a:off x="6899075" y="5685821"/>
          <a:ext cx="182763" cy="225343"/>
          <a:chOff x="6572251" y="7477594"/>
          <a:chExt cx="223837" cy="280178"/>
        </a:xfrm>
      </xdr:grpSpPr>
      <xdr:sp macro="" textlink="">
        <xdr:nvSpPr>
          <xdr:cNvPr id="416" name="Elipse 415">
            <a:extLst>
              <a:ext uri="{FF2B5EF4-FFF2-40B4-BE49-F238E27FC236}">
                <a16:creationId xmlns:a16="http://schemas.microsoft.com/office/drawing/2014/main" id="{ABC33DC1-CE7E-D6D2-A454-745028DC7FE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17" name="CaixaDeTexto 416">
            <a:extLst>
              <a:ext uri="{FF2B5EF4-FFF2-40B4-BE49-F238E27FC236}">
                <a16:creationId xmlns:a16="http://schemas.microsoft.com/office/drawing/2014/main" id="{D42EB78C-C59A-9235-A33B-756DA3B2DE6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32</xdr:row>
      <xdr:rowOff>208213</xdr:rowOff>
    </xdr:from>
    <xdr:to>
      <xdr:col>7</xdr:col>
      <xdr:colOff>205343</xdr:colOff>
      <xdr:row>33</xdr:row>
      <xdr:rowOff>210861</xdr:rowOff>
    </xdr:to>
    <xdr:grpSp>
      <xdr:nvGrpSpPr>
        <xdr:cNvPr id="466" name="Agrupar 465">
          <a:extLst>
            <a:ext uri="{FF2B5EF4-FFF2-40B4-BE49-F238E27FC236}">
              <a16:creationId xmlns:a16="http://schemas.microsoft.com/office/drawing/2014/main" id="{316416CF-9FF2-4F29-8A8C-EEEA4AA80670}"/>
            </a:ext>
          </a:extLst>
        </xdr:cNvPr>
        <xdr:cNvGrpSpPr/>
      </xdr:nvGrpSpPr>
      <xdr:grpSpPr>
        <a:xfrm>
          <a:off x="6379010" y="7452036"/>
          <a:ext cx="182763" cy="224496"/>
          <a:chOff x="6572251" y="7468545"/>
          <a:chExt cx="223837" cy="280178"/>
        </a:xfrm>
      </xdr:grpSpPr>
      <xdr:sp macro="" textlink="">
        <xdr:nvSpPr>
          <xdr:cNvPr id="467" name="Elipse 466">
            <a:extLst>
              <a:ext uri="{FF2B5EF4-FFF2-40B4-BE49-F238E27FC236}">
                <a16:creationId xmlns:a16="http://schemas.microsoft.com/office/drawing/2014/main" id="{6016BA6C-14A8-39EB-AFC1-DAA76EFB098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68" name="CaixaDeTexto 467">
            <a:extLst>
              <a:ext uri="{FF2B5EF4-FFF2-40B4-BE49-F238E27FC236}">
                <a16:creationId xmlns:a16="http://schemas.microsoft.com/office/drawing/2014/main" id="{41066200-FA2C-EF54-76B9-21290FAC82D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32</xdr:row>
      <xdr:rowOff>216783</xdr:rowOff>
    </xdr:from>
    <xdr:to>
      <xdr:col>7</xdr:col>
      <xdr:colOff>725408</xdr:colOff>
      <xdr:row>33</xdr:row>
      <xdr:rowOff>220278</xdr:rowOff>
    </xdr:to>
    <xdr:grpSp>
      <xdr:nvGrpSpPr>
        <xdr:cNvPr id="469" name="Agrupar 468">
          <a:extLst>
            <a:ext uri="{FF2B5EF4-FFF2-40B4-BE49-F238E27FC236}">
              <a16:creationId xmlns:a16="http://schemas.microsoft.com/office/drawing/2014/main" id="{23829659-3621-46DB-B5A4-6F9B8DB1F4DD}"/>
            </a:ext>
          </a:extLst>
        </xdr:cNvPr>
        <xdr:cNvGrpSpPr/>
      </xdr:nvGrpSpPr>
      <xdr:grpSpPr>
        <a:xfrm>
          <a:off x="6899075" y="7460606"/>
          <a:ext cx="182763" cy="225343"/>
          <a:chOff x="6572251" y="7477594"/>
          <a:chExt cx="223837" cy="280178"/>
        </a:xfrm>
      </xdr:grpSpPr>
      <xdr:sp macro="" textlink="">
        <xdr:nvSpPr>
          <xdr:cNvPr id="470" name="Elipse 469">
            <a:extLst>
              <a:ext uri="{FF2B5EF4-FFF2-40B4-BE49-F238E27FC236}">
                <a16:creationId xmlns:a16="http://schemas.microsoft.com/office/drawing/2014/main" id="{32435A28-84BF-5563-DD86-A166F71A9CD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71" name="CaixaDeTexto 470">
            <a:extLst>
              <a:ext uri="{FF2B5EF4-FFF2-40B4-BE49-F238E27FC236}">
                <a16:creationId xmlns:a16="http://schemas.microsoft.com/office/drawing/2014/main" id="{3F2DDA59-B219-20B1-8F6B-82367419DB2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33</xdr:row>
      <xdr:rowOff>208213</xdr:rowOff>
    </xdr:from>
    <xdr:to>
      <xdr:col>7</xdr:col>
      <xdr:colOff>205343</xdr:colOff>
      <xdr:row>34</xdr:row>
      <xdr:rowOff>210861</xdr:rowOff>
    </xdr:to>
    <xdr:grpSp>
      <xdr:nvGrpSpPr>
        <xdr:cNvPr id="472" name="Agrupar 471">
          <a:extLst>
            <a:ext uri="{FF2B5EF4-FFF2-40B4-BE49-F238E27FC236}">
              <a16:creationId xmlns:a16="http://schemas.microsoft.com/office/drawing/2014/main" id="{0B21814D-A327-42EA-B7A6-34CA61183010}"/>
            </a:ext>
          </a:extLst>
        </xdr:cNvPr>
        <xdr:cNvGrpSpPr/>
      </xdr:nvGrpSpPr>
      <xdr:grpSpPr>
        <a:xfrm>
          <a:off x="6379010" y="7673884"/>
          <a:ext cx="182763" cy="224496"/>
          <a:chOff x="6572251" y="7468545"/>
          <a:chExt cx="223837" cy="280178"/>
        </a:xfrm>
      </xdr:grpSpPr>
      <xdr:sp macro="" textlink="">
        <xdr:nvSpPr>
          <xdr:cNvPr id="473" name="Elipse 472">
            <a:extLst>
              <a:ext uri="{FF2B5EF4-FFF2-40B4-BE49-F238E27FC236}">
                <a16:creationId xmlns:a16="http://schemas.microsoft.com/office/drawing/2014/main" id="{9A65C3B3-8C49-DC02-7BD6-A0408E578AF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74" name="CaixaDeTexto 473">
            <a:extLst>
              <a:ext uri="{FF2B5EF4-FFF2-40B4-BE49-F238E27FC236}">
                <a16:creationId xmlns:a16="http://schemas.microsoft.com/office/drawing/2014/main" id="{87BF8601-322B-0B0A-C054-050EBB7D32A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33</xdr:row>
      <xdr:rowOff>216783</xdr:rowOff>
    </xdr:from>
    <xdr:to>
      <xdr:col>7</xdr:col>
      <xdr:colOff>725408</xdr:colOff>
      <xdr:row>34</xdr:row>
      <xdr:rowOff>220278</xdr:rowOff>
    </xdr:to>
    <xdr:grpSp>
      <xdr:nvGrpSpPr>
        <xdr:cNvPr id="475" name="Agrupar 474">
          <a:extLst>
            <a:ext uri="{FF2B5EF4-FFF2-40B4-BE49-F238E27FC236}">
              <a16:creationId xmlns:a16="http://schemas.microsoft.com/office/drawing/2014/main" id="{05D8B36F-59D8-4012-BF44-78032FA5F7FC}"/>
            </a:ext>
          </a:extLst>
        </xdr:cNvPr>
        <xdr:cNvGrpSpPr/>
      </xdr:nvGrpSpPr>
      <xdr:grpSpPr>
        <a:xfrm>
          <a:off x="6899075" y="7682454"/>
          <a:ext cx="182763" cy="225343"/>
          <a:chOff x="6572251" y="7477594"/>
          <a:chExt cx="223837" cy="280178"/>
        </a:xfrm>
      </xdr:grpSpPr>
      <xdr:sp macro="" textlink="">
        <xdr:nvSpPr>
          <xdr:cNvPr id="476" name="Elipse 475">
            <a:extLst>
              <a:ext uri="{FF2B5EF4-FFF2-40B4-BE49-F238E27FC236}">
                <a16:creationId xmlns:a16="http://schemas.microsoft.com/office/drawing/2014/main" id="{9AD7B8B3-B6ED-1822-6C02-7920DC8532A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77" name="CaixaDeTexto 476">
            <a:extLst>
              <a:ext uri="{FF2B5EF4-FFF2-40B4-BE49-F238E27FC236}">
                <a16:creationId xmlns:a16="http://schemas.microsoft.com/office/drawing/2014/main" id="{A35CDBC4-1F3E-E56C-F929-2E602D98B73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34</xdr:row>
      <xdr:rowOff>208213</xdr:rowOff>
    </xdr:from>
    <xdr:to>
      <xdr:col>7</xdr:col>
      <xdr:colOff>205343</xdr:colOff>
      <xdr:row>35</xdr:row>
      <xdr:rowOff>210861</xdr:rowOff>
    </xdr:to>
    <xdr:grpSp>
      <xdr:nvGrpSpPr>
        <xdr:cNvPr id="478" name="Agrupar 477">
          <a:extLst>
            <a:ext uri="{FF2B5EF4-FFF2-40B4-BE49-F238E27FC236}">
              <a16:creationId xmlns:a16="http://schemas.microsoft.com/office/drawing/2014/main" id="{72B6F172-B954-44B5-9E7B-087174A0B0A2}"/>
            </a:ext>
          </a:extLst>
        </xdr:cNvPr>
        <xdr:cNvGrpSpPr/>
      </xdr:nvGrpSpPr>
      <xdr:grpSpPr>
        <a:xfrm>
          <a:off x="6379010" y="7895732"/>
          <a:ext cx="182763" cy="224496"/>
          <a:chOff x="6572251" y="7468545"/>
          <a:chExt cx="223837" cy="280178"/>
        </a:xfrm>
      </xdr:grpSpPr>
      <xdr:sp macro="" textlink="">
        <xdr:nvSpPr>
          <xdr:cNvPr id="479" name="Elipse 478">
            <a:extLst>
              <a:ext uri="{FF2B5EF4-FFF2-40B4-BE49-F238E27FC236}">
                <a16:creationId xmlns:a16="http://schemas.microsoft.com/office/drawing/2014/main" id="{36E40E15-9E16-5966-1DA7-AC98F706361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80" name="CaixaDeTexto 479">
            <a:extLst>
              <a:ext uri="{FF2B5EF4-FFF2-40B4-BE49-F238E27FC236}">
                <a16:creationId xmlns:a16="http://schemas.microsoft.com/office/drawing/2014/main" id="{F3EBF676-B2F9-04B9-FF19-6A9247C7AF5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34</xdr:row>
      <xdr:rowOff>216783</xdr:rowOff>
    </xdr:from>
    <xdr:to>
      <xdr:col>7</xdr:col>
      <xdr:colOff>725408</xdr:colOff>
      <xdr:row>35</xdr:row>
      <xdr:rowOff>220278</xdr:rowOff>
    </xdr:to>
    <xdr:grpSp>
      <xdr:nvGrpSpPr>
        <xdr:cNvPr id="481" name="Agrupar 480">
          <a:extLst>
            <a:ext uri="{FF2B5EF4-FFF2-40B4-BE49-F238E27FC236}">
              <a16:creationId xmlns:a16="http://schemas.microsoft.com/office/drawing/2014/main" id="{A95A6985-1103-44E7-ACAC-06C020D1BADD}"/>
            </a:ext>
          </a:extLst>
        </xdr:cNvPr>
        <xdr:cNvGrpSpPr/>
      </xdr:nvGrpSpPr>
      <xdr:grpSpPr>
        <a:xfrm>
          <a:off x="6899075" y="7904302"/>
          <a:ext cx="182763" cy="225343"/>
          <a:chOff x="6572251" y="7477594"/>
          <a:chExt cx="223837" cy="280178"/>
        </a:xfrm>
      </xdr:grpSpPr>
      <xdr:sp macro="" textlink="">
        <xdr:nvSpPr>
          <xdr:cNvPr id="482" name="Elipse 481">
            <a:extLst>
              <a:ext uri="{FF2B5EF4-FFF2-40B4-BE49-F238E27FC236}">
                <a16:creationId xmlns:a16="http://schemas.microsoft.com/office/drawing/2014/main" id="{451AD7E6-FC46-DF62-E590-24181D8FEC4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83" name="CaixaDeTexto 482">
            <a:extLst>
              <a:ext uri="{FF2B5EF4-FFF2-40B4-BE49-F238E27FC236}">
                <a16:creationId xmlns:a16="http://schemas.microsoft.com/office/drawing/2014/main" id="{6BBC6072-7C28-20CA-C0BC-FA118C2B2FE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31</xdr:row>
      <xdr:rowOff>208213</xdr:rowOff>
    </xdr:from>
    <xdr:to>
      <xdr:col>7</xdr:col>
      <xdr:colOff>205343</xdr:colOff>
      <xdr:row>32</xdr:row>
      <xdr:rowOff>210861</xdr:rowOff>
    </xdr:to>
    <xdr:grpSp>
      <xdr:nvGrpSpPr>
        <xdr:cNvPr id="484" name="Agrupar 483">
          <a:extLst>
            <a:ext uri="{FF2B5EF4-FFF2-40B4-BE49-F238E27FC236}">
              <a16:creationId xmlns:a16="http://schemas.microsoft.com/office/drawing/2014/main" id="{7B758400-6815-4EE1-A038-1E299F0CE079}"/>
            </a:ext>
          </a:extLst>
        </xdr:cNvPr>
        <xdr:cNvGrpSpPr/>
      </xdr:nvGrpSpPr>
      <xdr:grpSpPr>
        <a:xfrm>
          <a:off x="6379010" y="7230188"/>
          <a:ext cx="182763" cy="224496"/>
          <a:chOff x="6572251" y="7468545"/>
          <a:chExt cx="223837" cy="280178"/>
        </a:xfrm>
      </xdr:grpSpPr>
      <xdr:sp macro="" textlink="">
        <xdr:nvSpPr>
          <xdr:cNvPr id="485" name="Elipse 484">
            <a:extLst>
              <a:ext uri="{FF2B5EF4-FFF2-40B4-BE49-F238E27FC236}">
                <a16:creationId xmlns:a16="http://schemas.microsoft.com/office/drawing/2014/main" id="{3B9A023C-E551-A430-5A31-45E6DE6FBC6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86" name="CaixaDeTexto 485">
            <a:extLst>
              <a:ext uri="{FF2B5EF4-FFF2-40B4-BE49-F238E27FC236}">
                <a16:creationId xmlns:a16="http://schemas.microsoft.com/office/drawing/2014/main" id="{55FAEF33-D062-DE65-D44E-85188350109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31</xdr:row>
      <xdr:rowOff>216783</xdr:rowOff>
    </xdr:from>
    <xdr:to>
      <xdr:col>7</xdr:col>
      <xdr:colOff>725408</xdr:colOff>
      <xdr:row>32</xdr:row>
      <xdr:rowOff>220278</xdr:rowOff>
    </xdr:to>
    <xdr:grpSp>
      <xdr:nvGrpSpPr>
        <xdr:cNvPr id="487" name="Agrupar 486">
          <a:extLst>
            <a:ext uri="{FF2B5EF4-FFF2-40B4-BE49-F238E27FC236}">
              <a16:creationId xmlns:a16="http://schemas.microsoft.com/office/drawing/2014/main" id="{2636357E-87E3-4845-9BA4-44C5432AA820}"/>
            </a:ext>
          </a:extLst>
        </xdr:cNvPr>
        <xdr:cNvGrpSpPr/>
      </xdr:nvGrpSpPr>
      <xdr:grpSpPr>
        <a:xfrm>
          <a:off x="6899075" y="7238758"/>
          <a:ext cx="182763" cy="225343"/>
          <a:chOff x="6572251" y="7477594"/>
          <a:chExt cx="223837" cy="280178"/>
        </a:xfrm>
      </xdr:grpSpPr>
      <xdr:sp macro="" textlink="">
        <xdr:nvSpPr>
          <xdr:cNvPr id="488" name="Elipse 487">
            <a:extLst>
              <a:ext uri="{FF2B5EF4-FFF2-40B4-BE49-F238E27FC236}">
                <a16:creationId xmlns:a16="http://schemas.microsoft.com/office/drawing/2014/main" id="{385FA8FE-6F27-A03B-C6C6-F6B3E56DC72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89" name="CaixaDeTexto 488">
            <a:extLst>
              <a:ext uri="{FF2B5EF4-FFF2-40B4-BE49-F238E27FC236}">
                <a16:creationId xmlns:a16="http://schemas.microsoft.com/office/drawing/2014/main" id="{265C53A1-6FCD-1A37-2055-C155C1D2ADB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35</xdr:row>
      <xdr:rowOff>208213</xdr:rowOff>
    </xdr:from>
    <xdr:to>
      <xdr:col>7</xdr:col>
      <xdr:colOff>205343</xdr:colOff>
      <xdr:row>36</xdr:row>
      <xdr:rowOff>210861</xdr:rowOff>
    </xdr:to>
    <xdr:grpSp>
      <xdr:nvGrpSpPr>
        <xdr:cNvPr id="490" name="Agrupar 489">
          <a:extLst>
            <a:ext uri="{FF2B5EF4-FFF2-40B4-BE49-F238E27FC236}">
              <a16:creationId xmlns:a16="http://schemas.microsoft.com/office/drawing/2014/main" id="{4260CE84-91F4-4E68-BE1F-E6E4C7A386C5}"/>
            </a:ext>
          </a:extLst>
        </xdr:cNvPr>
        <xdr:cNvGrpSpPr/>
      </xdr:nvGrpSpPr>
      <xdr:grpSpPr>
        <a:xfrm>
          <a:off x="6379010" y="8117580"/>
          <a:ext cx="182763" cy="224496"/>
          <a:chOff x="6572251" y="7468545"/>
          <a:chExt cx="223837" cy="280178"/>
        </a:xfrm>
      </xdr:grpSpPr>
      <xdr:sp macro="" textlink="">
        <xdr:nvSpPr>
          <xdr:cNvPr id="491" name="Elipse 490">
            <a:extLst>
              <a:ext uri="{FF2B5EF4-FFF2-40B4-BE49-F238E27FC236}">
                <a16:creationId xmlns:a16="http://schemas.microsoft.com/office/drawing/2014/main" id="{CC9853A4-5D87-C717-FBAE-0AC13A6DD04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92" name="CaixaDeTexto 491">
            <a:extLst>
              <a:ext uri="{FF2B5EF4-FFF2-40B4-BE49-F238E27FC236}">
                <a16:creationId xmlns:a16="http://schemas.microsoft.com/office/drawing/2014/main" id="{C3F9D9B1-5524-DF6D-D77F-48AB8041803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35</xdr:row>
      <xdr:rowOff>216783</xdr:rowOff>
    </xdr:from>
    <xdr:to>
      <xdr:col>7</xdr:col>
      <xdr:colOff>725408</xdr:colOff>
      <xdr:row>36</xdr:row>
      <xdr:rowOff>220278</xdr:rowOff>
    </xdr:to>
    <xdr:grpSp>
      <xdr:nvGrpSpPr>
        <xdr:cNvPr id="493" name="Agrupar 492">
          <a:extLst>
            <a:ext uri="{FF2B5EF4-FFF2-40B4-BE49-F238E27FC236}">
              <a16:creationId xmlns:a16="http://schemas.microsoft.com/office/drawing/2014/main" id="{0CB40BC6-143C-40E4-A166-1F8BECC1F3D6}"/>
            </a:ext>
          </a:extLst>
        </xdr:cNvPr>
        <xdr:cNvGrpSpPr/>
      </xdr:nvGrpSpPr>
      <xdr:grpSpPr>
        <a:xfrm>
          <a:off x="6899075" y="8126150"/>
          <a:ext cx="182763" cy="225343"/>
          <a:chOff x="6572251" y="7477594"/>
          <a:chExt cx="223837" cy="280178"/>
        </a:xfrm>
      </xdr:grpSpPr>
      <xdr:sp macro="" textlink="">
        <xdr:nvSpPr>
          <xdr:cNvPr id="494" name="Elipse 493">
            <a:extLst>
              <a:ext uri="{FF2B5EF4-FFF2-40B4-BE49-F238E27FC236}">
                <a16:creationId xmlns:a16="http://schemas.microsoft.com/office/drawing/2014/main" id="{627DD3E1-3D8A-79FF-79FE-DE81FC6437C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95" name="CaixaDeTexto 494">
            <a:extLst>
              <a:ext uri="{FF2B5EF4-FFF2-40B4-BE49-F238E27FC236}">
                <a16:creationId xmlns:a16="http://schemas.microsoft.com/office/drawing/2014/main" id="{C54D2C30-8FAF-AD67-355F-73141AC2263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31</xdr:row>
      <xdr:rowOff>208213</xdr:rowOff>
    </xdr:from>
    <xdr:to>
      <xdr:col>7</xdr:col>
      <xdr:colOff>205343</xdr:colOff>
      <xdr:row>32</xdr:row>
      <xdr:rowOff>210861</xdr:rowOff>
    </xdr:to>
    <xdr:grpSp>
      <xdr:nvGrpSpPr>
        <xdr:cNvPr id="496" name="Agrupar 495">
          <a:extLst>
            <a:ext uri="{FF2B5EF4-FFF2-40B4-BE49-F238E27FC236}">
              <a16:creationId xmlns:a16="http://schemas.microsoft.com/office/drawing/2014/main" id="{7C468B67-6BC2-4F70-A9CF-F4EC4629B627}"/>
            </a:ext>
          </a:extLst>
        </xdr:cNvPr>
        <xdr:cNvGrpSpPr/>
      </xdr:nvGrpSpPr>
      <xdr:grpSpPr>
        <a:xfrm>
          <a:off x="6379010" y="7230188"/>
          <a:ext cx="182763" cy="224496"/>
          <a:chOff x="6572251" y="7468545"/>
          <a:chExt cx="223837" cy="280178"/>
        </a:xfrm>
      </xdr:grpSpPr>
      <xdr:sp macro="" textlink="">
        <xdr:nvSpPr>
          <xdr:cNvPr id="497" name="Elipse 496">
            <a:extLst>
              <a:ext uri="{FF2B5EF4-FFF2-40B4-BE49-F238E27FC236}">
                <a16:creationId xmlns:a16="http://schemas.microsoft.com/office/drawing/2014/main" id="{E0E66C61-5E08-6C9B-A232-9BE23601286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98" name="CaixaDeTexto 497">
            <a:extLst>
              <a:ext uri="{FF2B5EF4-FFF2-40B4-BE49-F238E27FC236}">
                <a16:creationId xmlns:a16="http://schemas.microsoft.com/office/drawing/2014/main" id="{DD9B3F0E-7CE2-9B40-F4CF-26F55073D64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31</xdr:row>
      <xdr:rowOff>216783</xdr:rowOff>
    </xdr:from>
    <xdr:to>
      <xdr:col>7</xdr:col>
      <xdr:colOff>725408</xdr:colOff>
      <xdr:row>32</xdr:row>
      <xdr:rowOff>220278</xdr:rowOff>
    </xdr:to>
    <xdr:grpSp>
      <xdr:nvGrpSpPr>
        <xdr:cNvPr id="499" name="Agrupar 498">
          <a:extLst>
            <a:ext uri="{FF2B5EF4-FFF2-40B4-BE49-F238E27FC236}">
              <a16:creationId xmlns:a16="http://schemas.microsoft.com/office/drawing/2014/main" id="{6CF427D4-15A5-44A7-A5D4-DDB012EB8237}"/>
            </a:ext>
          </a:extLst>
        </xdr:cNvPr>
        <xdr:cNvGrpSpPr/>
      </xdr:nvGrpSpPr>
      <xdr:grpSpPr>
        <a:xfrm>
          <a:off x="6899075" y="7238758"/>
          <a:ext cx="182763" cy="225343"/>
          <a:chOff x="6572251" y="7477594"/>
          <a:chExt cx="223837" cy="280178"/>
        </a:xfrm>
      </xdr:grpSpPr>
      <xdr:sp macro="" textlink="">
        <xdr:nvSpPr>
          <xdr:cNvPr id="500" name="Elipse 499">
            <a:extLst>
              <a:ext uri="{FF2B5EF4-FFF2-40B4-BE49-F238E27FC236}">
                <a16:creationId xmlns:a16="http://schemas.microsoft.com/office/drawing/2014/main" id="{C5AB02AD-75DF-7015-89A5-BC237F9638B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01" name="CaixaDeTexto 500">
            <a:extLst>
              <a:ext uri="{FF2B5EF4-FFF2-40B4-BE49-F238E27FC236}">
                <a16:creationId xmlns:a16="http://schemas.microsoft.com/office/drawing/2014/main" id="{D200B64E-70BD-732C-271C-B0CA2F5B443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30</xdr:row>
      <xdr:rowOff>208213</xdr:rowOff>
    </xdr:from>
    <xdr:to>
      <xdr:col>7</xdr:col>
      <xdr:colOff>205343</xdr:colOff>
      <xdr:row>31</xdr:row>
      <xdr:rowOff>210861</xdr:rowOff>
    </xdr:to>
    <xdr:grpSp>
      <xdr:nvGrpSpPr>
        <xdr:cNvPr id="502" name="Agrupar 501">
          <a:extLst>
            <a:ext uri="{FF2B5EF4-FFF2-40B4-BE49-F238E27FC236}">
              <a16:creationId xmlns:a16="http://schemas.microsoft.com/office/drawing/2014/main" id="{F57DC088-1C8F-400C-92EA-50BD78D780EA}"/>
            </a:ext>
          </a:extLst>
        </xdr:cNvPr>
        <xdr:cNvGrpSpPr/>
      </xdr:nvGrpSpPr>
      <xdr:grpSpPr>
        <a:xfrm>
          <a:off x="6379010" y="7008340"/>
          <a:ext cx="182763" cy="224496"/>
          <a:chOff x="6572251" y="7468545"/>
          <a:chExt cx="223837" cy="280178"/>
        </a:xfrm>
      </xdr:grpSpPr>
      <xdr:sp macro="" textlink="">
        <xdr:nvSpPr>
          <xdr:cNvPr id="503" name="Elipse 502">
            <a:extLst>
              <a:ext uri="{FF2B5EF4-FFF2-40B4-BE49-F238E27FC236}">
                <a16:creationId xmlns:a16="http://schemas.microsoft.com/office/drawing/2014/main" id="{3B02A8DB-DE66-5B5A-35A3-A06420C521F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04" name="CaixaDeTexto 503">
            <a:extLst>
              <a:ext uri="{FF2B5EF4-FFF2-40B4-BE49-F238E27FC236}">
                <a16:creationId xmlns:a16="http://schemas.microsoft.com/office/drawing/2014/main" id="{F9A797D1-2398-4968-1D42-248DC54487A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30</xdr:row>
      <xdr:rowOff>216783</xdr:rowOff>
    </xdr:from>
    <xdr:to>
      <xdr:col>7</xdr:col>
      <xdr:colOff>725408</xdr:colOff>
      <xdr:row>31</xdr:row>
      <xdr:rowOff>220278</xdr:rowOff>
    </xdr:to>
    <xdr:grpSp>
      <xdr:nvGrpSpPr>
        <xdr:cNvPr id="505" name="Agrupar 504">
          <a:extLst>
            <a:ext uri="{FF2B5EF4-FFF2-40B4-BE49-F238E27FC236}">
              <a16:creationId xmlns:a16="http://schemas.microsoft.com/office/drawing/2014/main" id="{7AC006A6-A757-4286-86F7-EED6B7CE197B}"/>
            </a:ext>
          </a:extLst>
        </xdr:cNvPr>
        <xdr:cNvGrpSpPr/>
      </xdr:nvGrpSpPr>
      <xdr:grpSpPr>
        <a:xfrm>
          <a:off x="6899075" y="7016910"/>
          <a:ext cx="182763" cy="225343"/>
          <a:chOff x="6572251" y="7477594"/>
          <a:chExt cx="223837" cy="280178"/>
        </a:xfrm>
      </xdr:grpSpPr>
      <xdr:sp macro="" textlink="">
        <xdr:nvSpPr>
          <xdr:cNvPr id="506" name="Elipse 505">
            <a:extLst>
              <a:ext uri="{FF2B5EF4-FFF2-40B4-BE49-F238E27FC236}">
                <a16:creationId xmlns:a16="http://schemas.microsoft.com/office/drawing/2014/main" id="{10CFF8E3-5729-D8C0-DD95-EFF5D9CEB46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07" name="CaixaDeTexto 506">
            <a:extLst>
              <a:ext uri="{FF2B5EF4-FFF2-40B4-BE49-F238E27FC236}">
                <a16:creationId xmlns:a16="http://schemas.microsoft.com/office/drawing/2014/main" id="{16589493-9942-27D6-AA73-757AD807097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38</xdr:row>
      <xdr:rowOff>208213</xdr:rowOff>
    </xdr:from>
    <xdr:to>
      <xdr:col>7</xdr:col>
      <xdr:colOff>205343</xdr:colOff>
      <xdr:row>39</xdr:row>
      <xdr:rowOff>210861</xdr:rowOff>
    </xdr:to>
    <xdr:grpSp>
      <xdr:nvGrpSpPr>
        <xdr:cNvPr id="508" name="Agrupar 507">
          <a:extLst>
            <a:ext uri="{FF2B5EF4-FFF2-40B4-BE49-F238E27FC236}">
              <a16:creationId xmlns:a16="http://schemas.microsoft.com/office/drawing/2014/main" id="{5EF37CB7-AFDD-4A67-B07A-5B4A8846578C}"/>
            </a:ext>
          </a:extLst>
        </xdr:cNvPr>
        <xdr:cNvGrpSpPr/>
      </xdr:nvGrpSpPr>
      <xdr:grpSpPr>
        <a:xfrm>
          <a:off x="6379010" y="8783124"/>
          <a:ext cx="182763" cy="224496"/>
          <a:chOff x="6572251" y="7468545"/>
          <a:chExt cx="223837" cy="280178"/>
        </a:xfrm>
      </xdr:grpSpPr>
      <xdr:sp macro="" textlink="">
        <xdr:nvSpPr>
          <xdr:cNvPr id="509" name="Elipse 508">
            <a:extLst>
              <a:ext uri="{FF2B5EF4-FFF2-40B4-BE49-F238E27FC236}">
                <a16:creationId xmlns:a16="http://schemas.microsoft.com/office/drawing/2014/main" id="{B8157BF1-B4FD-9813-DA2B-39DA3C51378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10" name="CaixaDeTexto 509">
            <a:extLst>
              <a:ext uri="{FF2B5EF4-FFF2-40B4-BE49-F238E27FC236}">
                <a16:creationId xmlns:a16="http://schemas.microsoft.com/office/drawing/2014/main" id="{94598DE2-F63F-B2DF-8F09-C5D2715E164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38</xdr:row>
      <xdr:rowOff>216783</xdr:rowOff>
    </xdr:from>
    <xdr:to>
      <xdr:col>7</xdr:col>
      <xdr:colOff>725408</xdr:colOff>
      <xdr:row>39</xdr:row>
      <xdr:rowOff>220278</xdr:rowOff>
    </xdr:to>
    <xdr:grpSp>
      <xdr:nvGrpSpPr>
        <xdr:cNvPr id="511" name="Agrupar 510">
          <a:extLst>
            <a:ext uri="{FF2B5EF4-FFF2-40B4-BE49-F238E27FC236}">
              <a16:creationId xmlns:a16="http://schemas.microsoft.com/office/drawing/2014/main" id="{86F35754-2F50-4BF2-B8A4-5991D79E2C9C}"/>
            </a:ext>
          </a:extLst>
        </xdr:cNvPr>
        <xdr:cNvGrpSpPr/>
      </xdr:nvGrpSpPr>
      <xdr:grpSpPr>
        <a:xfrm>
          <a:off x="6899075" y="8791694"/>
          <a:ext cx="182763" cy="225343"/>
          <a:chOff x="6572251" y="7477594"/>
          <a:chExt cx="223837" cy="280178"/>
        </a:xfrm>
      </xdr:grpSpPr>
      <xdr:sp macro="" textlink="">
        <xdr:nvSpPr>
          <xdr:cNvPr id="512" name="Elipse 511">
            <a:extLst>
              <a:ext uri="{FF2B5EF4-FFF2-40B4-BE49-F238E27FC236}">
                <a16:creationId xmlns:a16="http://schemas.microsoft.com/office/drawing/2014/main" id="{D9D506EB-E5F9-F1D9-6BC6-5755666623A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13" name="CaixaDeTexto 512">
            <a:extLst>
              <a:ext uri="{FF2B5EF4-FFF2-40B4-BE49-F238E27FC236}">
                <a16:creationId xmlns:a16="http://schemas.microsoft.com/office/drawing/2014/main" id="{AFCF3DCA-8D3D-FD6B-5716-D344AA938DF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39</xdr:row>
      <xdr:rowOff>208213</xdr:rowOff>
    </xdr:from>
    <xdr:to>
      <xdr:col>7</xdr:col>
      <xdr:colOff>205343</xdr:colOff>
      <xdr:row>40</xdr:row>
      <xdr:rowOff>210861</xdr:rowOff>
    </xdr:to>
    <xdr:grpSp>
      <xdr:nvGrpSpPr>
        <xdr:cNvPr id="514" name="Agrupar 513">
          <a:extLst>
            <a:ext uri="{FF2B5EF4-FFF2-40B4-BE49-F238E27FC236}">
              <a16:creationId xmlns:a16="http://schemas.microsoft.com/office/drawing/2014/main" id="{0C5D0501-5D17-4E8E-A2D7-5FE501EC1C89}"/>
            </a:ext>
          </a:extLst>
        </xdr:cNvPr>
        <xdr:cNvGrpSpPr/>
      </xdr:nvGrpSpPr>
      <xdr:grpSpPr>
        <a:xfrm>
          <a:off x="6379010" y="9004972"/>
          <a:ext cx="182763" cy="224497"/>
          <a:chOff x="6572251" y="7468545"/>
          <a:chExt cx="223837" cy="280178"/>
        </a:xfrm>
      </xdr:grpSpPr>
      <xdr:sp macro="" textlink="">
        <xdr:nvSpPr>
          <xdr:cNvPr id="515" name="Elipse 514">
            <a:extLst>
              <a:ext uri="{FF2B5EF4-FFF2-40B4-BE49-F238E27FC236}">
                <a16:creationId xmlns:a16="http://schemas.microsoft.com/office/drawing/2014/main" id="{08A38358-A33C-5BD7-9219-6875AA33715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16" name="CaixaDeTexto 515">
            <a:extLst>
              <a:ext uri="{FF2B5EF4-FFF2-40B4-BE49-F238E27FC236}">
                <a16:creationId xmlns:a16="http://schemas.microsoft.com/office/drawing/2014/main" id="{2F41C614-C544-BFC1-DED0-BFD016A75A1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39</xdr:row>
      <xdr:rowOff>216783</xdr:rowOff>
    </xdr:from>
    <xdr:to>
      <xdr:col>7</xdr:col>
      <xdr:colOff>725408</xdr:colOff>
      <xdr:row>40</xdr:row>
      <xdr:rowOff>220278</xdr:rowOff>
    </xdr:to>
    <xdr:grpSp>
      <xdr:nvGrpSpPr>
        <xdr:cNvPr id="517" name="Agrupar 516">
          <a:extLst>
            <a:ext uri="{FF2B5EF4-FFF2-40B4-BE49-F238E27FC236}">
              <a16:creationId xmlns:a16="http://schemas.microsoft.com/office/drawing/2014/main" id="{EFACF4CB-FA30-4DF2-BC83-0CE0AA9572AA}"/>
            </a:ext>
          </a:extLst>
        </xdr:cNvPr>
        <xdr:cNvGrpSpPr/>
      </xdr:nvGrpSpPr>
      <xdr:grpSpPr>
        <a:xfrm>
          <a:off x="6899075" y="9013542"/>
          <a:ext cx="182763" cy="225344"/>
          <a:chOff x="6572251" y="7477594"/>
          <a:chExt cx="223837" cy="280178"/>
        </a:xfrm>
      </xdr:grpSpPr>
      <xdr:sp macro="" textlink="">
        <xdr:nvSpPr>
          <xdr:cNvPr id="518" name="Elipse 517">
            <a:extLst>
              <a:ext uri="{FF2B5EF4-FFF2-40B4-BE49-F238E27FC236}">
                <a16:creationId xmlns:a16="http://schemas.microsoft.com/office/drawing/2014/main" id="{6E651942-AE42-847A-DC09-995C3983014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19" name="CaixaDeTexto 518">
            <a:extLst>
              <a:ext uri="{FF2B5EF4-FFF2-40B4-BE49-F238E27FC236}">
                <a16:creationId xmlns:a16="http://schemas.microsoft.com/office/drawing/2014/main" id="{BC7C487F-FB69-E755-9165-B9394E72EB2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40</xdr:row>
      <xdr:rowOff>208213</xdr:rowOff>
    </xdr:from>
    <xdr:to>
      <xdr:col>7</xdr:col>
      <xdr:colOff>205343</xdr:colOff>
      <xdr:row>41</xdr:row>
      <xdr:rowOff>210861</xdr:rowOff>
    </xdr:to>
    <xdr:grpSp>
      <xdr:nvGrpSpPr>
        <xdr:cNvPr id="520" name="Agrupar 519">
          <a:extLst>
            <a:ext uri="{FF2B5EF4-FFF2-40B4-BE49-F238E27FC236}">
              <a16:creationId xmlns:a16="http://schemas.microsoft.com/office/drawing/2014/main" id="{AFF8053D-20A2-41D3-8BCF-016F7C2FAB9B}"/>
            </a:ext>
          </a:extLst>
        </xdr:cNvPr>
        <xdr:cNvGrpSpPr/>
      </xdr:nvGrpSpPr>
      <xdr:grpSpPr>
        <a:xfrm>
          <a:off x="6379010" y="9226821"/>
          <a:ext cx="182763" cy="224496"/>
          <a:chOff x="6572251" y="7468545"/>
          <a:chExt cx="223837" cy="280178"/>
        </a:xfrm>
      </xdr:grpSpPr>
      <xdr:sp macro="" textlink="">
        <xdr:nvSpPr>
          <xdr:cNvPr id="521" name="Elipse 520">
            <a:extLst>
              <a:ext uri="{FF2B5EF4-FFF2-40B4-BE49-F238E27FC236}">
                <a16:creationId xmlns:a16="http://schemas.microsoft.com/office/drawing/2014/main" id="{60D18303-1B8B-2412-4D63-C43D349D368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22" name="CaixaDeTexto 521">
            <a:extLst>
              <a:ext uri="{FF2B5EF4-FFF2-40B4-BE49-F238E27FC236}">
                <a16:creationId xmlns:a16="http://schemas.microsoft.com/office/drawing/2014/main" id="{01918754-E46F-7205-47D2-7928BDFB8BE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40</xdr:row>
      <xdr:rowOff>216783</xdr:rowOff>
    </xdr:from>
    <xdr:to>
      <xdr:col>7</xdr:col>
      <xdr:colOff>725408</xdr:colOff>
      <xdr:row>41</xdr:row>
      <xdr:rowOff>220278</xdr:rowOff>
    </xdr:to>
    <xdr:grpSp>
      <xdr:nvGrpSpPr>
        <xdr:cNvPr id="523" name="Agrupar 522">
          <a:extLst>
            <a:ext uri="{FF2B5EF4-FFF2-40B4-BE49-F238E27FC236}">
              <a16:creationId xmlns:a16="http://schemas.microsoft.com/office/drawing/2014/main" id="{8DAF58BF-57C4-408B-866C-F0034002A8BF}"/>
            </a:ext>
          </a:extLst>
        </xdr:cNvPr>
        <xdr:cNvGrpSpPr/>
      </xdr:nvGrpSpPr>
      <xdr:grpSpPr>
        <a:xfrm>
          <a:off x="6899075" y="9235391"/>
          <a:ext cx="182763" cy="225343"/>
          <a:chOff x="6572251" y="7477594"/>
          <a:chExt cx="223837" cy="280178"/>
        </a:xfrm>
      </xdr:grpSpPr>
      <xdr:sp macro="" textlink="">
        <xdr:nvSpPr>
          <xdr:cNvPr id="524" name="Elipse 523">
            <a:extLst>
              <a:ext uri="{FF2B5EF4-FFF2-40B4-BE49-F238E27FC236}">
                <a16:creationId xmlns:a16="http://schemas.microsoft.com/office/drawing/2014/main" id="{5077A7DA-2A65-411D-69E3-56D1C142CB0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25" name="CaixaDeTexto 524">
            <a:extLst>
              <a:ext uri="{FF2B5EF4-FFF2-40B4-BE49-F238E27FC236}">
                <a16:creationId xmlns:a16="http://schemas.microsoft.com/office/drawing/2014/main" id="{C7186345-8BC4-C8B9-FB21-AD472B8EC48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37</xdr:row>
      <xdr:rowOff>208213</xdr:rowOff>
    </xdr:from>
    <xdr:to>
      <xdr:col>7</xdr:col>
      <xdr:colOff>205343</xdr:colOff>
      <xdr:row>38</xdr:row>
      <xdr:rowOff>210861</xdr:rowOff>
    </xdr:to>
    <xdr:grpSp>
      <xdr:nvGrpSpPr>
        <xdr:cNvPr id="526" name="Agrupar 525">
          <a:extLst>
            <a:ext uri="{FF2B5EF4-FFF2-40B4-BE49-F238E27FC236}">
              <a16:creationId xmlns:a16="http://schemas.microsoft.com/office/drawing/2014/main" id="{D0BF6FD6-5EC6-426D-B68C-F45CB155C59E}"/>
            </a:ext>
          </a:extLst>
        </xdr:cNvPr>
        <xdr:cNvGrpSpPr/>
      </xdr:nvGrpSpPr>
      <xdr:grpSpPr>
        <a:xfrm>
          <a:off x="6379010" y="8561276"/>
          <a:ext cx="182763" cy="224496"/>
          <a:chOff x="6572251" y="7468545"/>
          <a:chExt cx="223837" cy="280178"/>
        </a:xfrm>
      </xdr:grpSpPr>
      <xdr:sp macro="" textlink="">
        <xdr:nvSpPr>
          <xdr:cNvPr id="527" name="Elipse 526">
            <a:extLst>
              <a:ext uri="{FF2B5EF4-FFF2-40B4-BE49-F238E27FC236}">
                <a16:creationId xmlns:a16="http://schemas.microsoft.com/office/drawing/2014/main" id="{B474C6CE-7C47-51A4-2968-E35D6AEF046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28" name="CaixaDeTexto 527">
            <a:extLst>
              <a:ext uri="{FF2B5EF4-FFF2-40B4-BE49-F238E27FC236}">
                <a16:creationId xmlns:a16="http://schemas.microsoft.com/office/drawing/2014/main" id="{43345EEE-53EF-268F-3178-9BB4D62B2D7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37</xdr:row>
      <xdr:rowOff>216783</xdr:rowOff>
    </xdr:from>
    <xdr:to>
      <xdr:col>7</xdr:col>
      <xdr:colOff>725408</xdr:colOff>
      <xdr:row>38</xdr:row>
      <xdr:rowOff>220278</xdr:rowOff>
    </xdr:to>
    <xdr:grpSp>
      <xdr:nvGrpSpPr>
        <xdr:cNvPr id="529" name="Agrupar 528">
          <a:extLst>
            <a:ext uri="{FF2B5EF4-FFF2-40B4-BE49-F238E27FC236}">
              <a16:creationId xmlns:a16="http://schemas.microsoft.com/office/drawing/2014/main" id="{08950673-1ECC-41DE-9E37-9CBCCD9884C9}"/>
            </a:ext>
          </a:extLst>
        </xdr:cNvPr>
        <xdr:cNvGrpSpPr/>
      </xdr:nvGrpSpPr>
      <xdr:grpSpPr>
        <a:xfrm>
          <a:off x="6899075" y="8569846"/>
          <a:ext cx="182763" cy="225343"/>
          <a:chOff x="6572251" y="7477594"/>
          <a:chExt cx="223837" cy="280178"/>
        </a:xfrm>
      </xdr:grpSpPr>
      <xdr:sp macro="" textlink="">
        <xdr:nvSpPr>
          <xdr:cNvPr id="530" name="Elipse 529">
            <a:extLst>
              <a:ext uri="{FF2B5EF4-FFF2-40B4-BE49-F238E27FC236}">
                <a16:creationId xmlns:a16="http://schemas.microsoft.com/office/drawing/2014/main" id="{20FC5C84-2B1A-1397-7D09-D2A089CB6E1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31" name="CaixaDeTexto 530">
            <a:extLst>
              <a:ext uri="{FF2B5EF4-FFF2-40B4-BE49-F238E27FC236}">
                <a16:creationId xmlns:a16="http://schemas.microsoft.com/office/drawing/2014/main" id="{354E1486-2135-7297-FD79-BA6FB5CA73A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37</xdr:row>
      <xdr:rowOff>208213</xdr:rowOff>
    </xdr:from>
    <xdr:to>
      <xdr:col>7</xdr:col>
      <xdr:colOff>205343</xdr:colOff>
      <xdr:row>38</xdr:row>
      <xdr:rowOff>210861</xdr:rowOff>
    </xdr:to>
    <xdr:grpSp>
      <xdr:nvGrpSpPr>
        <xdr:cNvPr id="538" name="Agrupar 537">
          <a:extLst>
            <a:ext uri="{FF2B5EF4-FFF2-40B4-BE49-F238E27FC236}">
              <a16:creationId xmlns:a16="http://schemas.microsoft.com/office/drawing/2014/main" id="{2B78AA21-DEE7-48D3-AC87-C2C0CA52B01A}"/>
            </a:ext>
          </a:extLst>
        </xdr:cNvPr>
        <xdr:cNvGrpSpPr/>
      </xdr:nvGrpSpPr>
      <xdr:grpSpPr>
        <a:xfrm>
          <a:off x="6379010" y="8561276"/>
          <a:ext cx="182763" cy="224496"/>
          <a:chOff x="6572251" y="7468545"/>
          <a:chExt cx="223837" cy="280178"/>
        </a:xfrm>
      </xdr:grpSpPr>
      <xdr:sp macro="" textlink="">
        <xdr:nvSpPr>
          <xdr:cNvPr id="539" name="Elipse 538">
            <a:extLst>
              <a:ext uri="{FF2B5EF4-FFF2-40B4-BE49-F238E27FC236}">
                <a16:creationId xmlns:a16="http://schemas.microsoft.com/office/drawing/2014/main" id="{C2DA9774-B32D-264D-F283-DAF29E9EC9A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40" name="CaixaDeTexto 539">
            <a:extLst>
              <a:ext uri="{FF2B5EF4-FFF2-40B4-BE49-F238E27FC236}">
                <a16:creationId xmlns:a16="http://schemas.microsoft.com/office/drawing/2014/main" id="{9F078944-A1C8-983B-87F9-B40858B570DA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37</xdr:row>
      <xdr:rowOff>216783</xdr:rowOff>
    </xdr:from>
    <xdr:to>
      <xdr:col>7</xdr:col>
      <xdr:colOff>725408</xdr:colOff>
      <xdr:row>38</xdr:row>
      <xdr:rowOff>220278</xdr:rowOff>
    </xdr:to>
    <xdr:grpSp>
      <xdr:nvGrpSpPr>
        <xdr:cNvPr id="541" name="Agrupar 540">
          <a:extLst>
            <a:ext uri="{FF2B5EF4-FFF2-40B4-BE49-F238E27FC236}">
              <a16:creationId xmlns:a16="http://schemas.microsoft.com/office/drawing/2014/main" id="{95AC7458-3590-47C6-82B9-9D6EA162B240}"/>
            </a:ext>
          </a:extLst>
        </xdr:cNvPr>
        <xdr:cNvGrpSpPr/>
      </xdr:nvGrpSpPr>
      <xdr:grpSpPr>
        <a:xfrm>
          <a:off x="6899075" y="8569846"/>
          <a:ext cx="182763" cy="225343"/>
          <a:chOff x="6572251" y="7477594"/>
          <a:chExt cx="223837" cy="280178"/>
        </a:xfrm>
      </xdr:grpSpPr>
      <xdr:sp macro="" textlink="">
        <xdr:nvSpPr>
          <xdr:cNvPr id="542" name="Elipse 541">
            <a:extLst>
              <a:ext uri="{FF2B5EF4-FFF2-40B4-BE49-F238E27FC236}">
                <a16:creationId xmlns:a16="http://schemas.microsoft.com/office/drawing/2014/main" id="{71BBD2F7-94D6-463C-4D46-D88ECA5F4BB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43" name="CaixaDeTexto 542">
            <a:extLst>
              <a:ext uri="{FF2B5EF4-FFF2-40B4-BE49-F238E27FC236}">
                <a16:creationId xmlns:a16="http://schemas.microsoft.com/office/drawing/2014/main" id="{7F0246DD-9E4A-05EA-6AAE-DE03455D6C3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36</xdr:row>
      <xdr:rowOff>208213</xdr:rowOff>
    </xdr:from>
    <xdr:to>
      <xdr:col>7</xdr:col>
      <xdr:colOff>205343</xdr:colOff>
      <xdr:row>37</xdr:row>
      <xdr:rowOff>210861</xdr:rowOff>
    </xdr:to>
    <xdr:grpSp>
      <xdr:nvGrpSpPr>
        <xdr:cNvPr id="544" name="Agrupar 543">
          <a:extLst>
            <a:ext uri="{FF2B5EF4-FFF2-40B4-BE49-F238E27FC236}">
              <a16:creationId xmlns:a16="http://schemas.microsoft.com/office/drawing/2014/main" id="{256ABF63-B3BE-4826-9A31-872D6579822C}"/>
            </a:ext>
          </a:extLst>
        </xdr:cNvPr>
        <xdr:cNvGrpSpPr/>
      </xdr:nvGrpSpPr>
      <xdr:grpSpPr>
        <a:xfrm>
          <a:off x="6379010" y="8339428"/>
          <a:ext cx="182763" cy="224496"/>
          <a:chOff x="6572251" y="7468545"/>
          <a:chExt cx="223837" cy="280178"/>
        </a:xfrm>
      </xdr:grpSpPr>
      <xdr:sp macro="" textlink="">
        <xdr:nvSpPr>
          <xdr:cNvPr id="545" name="Elipse 544">
            <a:extLst>
              <a:ext uri="{FF2B5EF4-FFF2-40B4-BE49-F238E27FC236}">
                <a16:creationId xmlns:a16="http://schemas.microsoft.com/office/drawing/2014/main" id="{289468AE-DBC8-8D46-00C0-0E91BA8261E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46" name="CaixaDeTexto 545">
            <a:extLst>
              <a:ext uri="{FF2B5EF4-FFF2-40B4-BE49-F238E27FC236}">
                <a16:creationId xmlns:a16="http://schemas.microsoft.com/office/drawing/2014/main" id="{BD3AA3F2-DD04-28B7-FA1B-51551AF365E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36</xdr:row>
      <xdr:rowOff>216783</xdr:rowOff>
    </xdr:from>
    <xdr:to>
      <xdr:col>7</xdr:col>
      <xdr:colOff>725408</xdr:colOff>
      <xdr:row>37</xdr:row>
      <xdr:rowOff>220278</xdr:rowOff>
    </xdr:to>
    <xdr:grpSp>
      <xdr:nvGrpSpPr>
        <xdr:cNvPr id="547" name="Agrupar 546">
          <a:extLst>
            <a:ext uri="{FF2B5EF4-FFF2-40B4-BE49-F238E27FC236}">
              <a16:creationId xmlns:a16="http://schemas.microsoft.com/office/drawing/2014/main" id="{1679B0AC-D7EF-48E2-A5BA-5C155193E942}"/>
            </a:ext>
          </a:extLst>
        </xdr:cNvPr>
        <xdr:cNvGrpSpPr/>
      </xdr:nvGrpSpPr>
      <xdr:grpSpPr>
        <a:xfrm>
          <a:off x="6899075" y="8347998"/>
          <a:ext cx="182763" cy="225343"/>
          <a:chOff x="6572251" y="7477594"/>
          <a:chExt cx="223837" cy="280178"/>
        </a:xfrm>
      </xdr:grpSpPr>
      <xdr:sp macro="" textlink="">
        <xdr:nvSpPr>
          <xdr:cNvPr id="548" name="Elipse 547">
            <a:extLst>
              <a:ext uri="{FF2B5EF4-FFF2-40B4-BE49-F238E27FC236}">
                <a16:creationId xmlns:a16="http://schemas.microsoft.com/office/drawing/2014/main" id="{499AB96B-958B-9495-F72F-85361DB3006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49" name="CaixaDeTexto 548">
            <a:extLst>
              <a:ext uri="{FF2B5EF4-FFF2-40B4-BE49-F238E27FC236}">
                <a16:creationId xmlns:a16="http://schemas.microsoft.com/office/drawing/2014/main" id="{F56B0A70-415C-9608-D048-328846D6451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41</xdr:row>
      <xdr:rowOff>208213</xdr:rowOff>
    </xdr:from>
    <xdr:to>
      <xdr:col>7</xdr:col>
      <xdr:colOff>205343</xdr:colOff>
      <xdr:row>42</xdr:row>
      <xdr:rowOff>210861</xdr:rowOff>
    </xdr:to>
    <xdr:grpSp>
      <xdr:nvGrpSpPr>
        <xdr:cNvPr id="550" name="Agrupar 549">
          <a:extLst>
            <a:ext uri="{FF2B5EF4-FFF2-40B4-BE49-F238E27FC236}">
              <a16:creationId xmlns:a16="http://schemas.microsoft.com/office/drawing/2014/main" id="{3E816029-A59C-4583-B8F0-A2CE897EDB58}"/>
            </a:ext>
          </a:extLst>
        </xdr:cNvPr>
        <xdr:cNvGrpSpPr/>
      </xdr:nvGrpSpPr>
      <xdr:grpSpPr>
        <a:xfrm>
          <a:off x="6379010" y="9448669"/>
          <a:ext cx="182763" cy="224496"/>
          <a:chOff x="6572251" y="7468545"/>
          <a:chExt cx="223837" cy="280178"/>
        </a:xfrm>
      </xdr:grpSpPr>
      <xdr:sp macro="" textlink="">
        <xdr:nvSpPr>
          <xdr:cNvPr id="551" name="Elipse 550">
            <a:extLst>
              <a:ext uri="{FF2B5EF4-FFF2-40B4-BE49-F238E27FC236}">
                <a16:creationId xmlns:a16="http://schemas.microsoft.com/office/drawing/2014/main" id="{912818D7-C5BE-B23C-17CD-1EF3A37B7B4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52" name="CaixaDeTexto 551">
            <a:extLst>
              <a:ext uri="{FF2B5EF4-FFF2-40B4-BE49-F238E27FC236}">
                <a16:creationId xmlns:a16="http://schemas.microsoft.com/office/drawing/2014/main" id="{D043074F-DB62-97B5-E984-B31DB2D2BBA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41</xdr:row>
      <xdr:rowOff>216783</xdr:rowOff>
    </xdr:from>
    <xdr:to>
      <xdr:col>7</xdr:col>
      <xdr:colOff>725408</xdr:colOff>
      <xdr:row>42</xdr:row>
      <xdr:rowOff>220278</xdr:rowOff>
    </xdr:to>
    <xdr:grpSp>
      <xdr:nvGrpSpPr>
        <xdr:cNvPr id="553" name="Agrupar 552">
          <a:extLst>
            <a:ext uri="{FF2B5EF4-FFF2-40B4-BE49-F238E27FC236}">
              <a16:creationId xmlns:a16="http://schemas.microsoft.com/office/drawing/2014/main" id="{61563FDD-8A91-410A-BD82-4495C14FE149}"/>
            </a:ext>
          </a:extLst>
        </xdr:cNvPr>
        <xdr:cNvGrpSpPr/>
      </xdr:nvGrpSpPr>
      <xdr:grpSpPr>
        <a:xfrm>
          <a:off x="6899075" y="9457239"/>
          <a:ext cx="182763" cy="225343"/>
          <a:chOff x="6572251" y="7477594"/>
          <a:chExt cx="223837" cy="280178"/>
        </a:xfrm>
      </xdr:grpSpPr>
      <xdr:sp macro="" textlink="">
        <xdr:nvSpPr>
          <xdr:cNvPr id="554" name="Elipse 553">
            <a:extLst>
              <a:ext uri="{FF2B5EF4-FFF2-40B4-BE49-F238E27FC236}">
                <a16:creationId xmlns:a16="http://schemas.microsoft.com/office/drawing/2014/main" id="{5682ABA5-B9EA-5624-3179-753C47CF505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55" name="CaixaDeTexto 554">
            <a:extLst>
              <a:ext uri="{FF2B5EF4-FFF2-40B4-BE49-F238E27FC236}">
                <a16:creationId xmlns:a16="http://schemas.microsoft.com/office/drawing/2014/main" id="{FC211417-D01E-7A1B-EFA0-6195806E765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44</xdr:row>
      <xdr:rowOff>208213</xdr:rowOff>
    </xdr:from>
    <xdr:to>
      <xdr:col>7</xdr:col>
      <xdr:colOff>205343</xdr:colOff>
      <xdr:row>45</xdr:row>
      <xdr:rowOff>210861</xdr:rowOff>
    </xdr:to>
    <xdr:grpSp>
      <xdr:nvGrpSpPr>
        <xdr:cNvPr id="556" name="Agrupar 555">
          <a:extLst>
            <a:ext uri="{FF2B5EF4-FFF2-40B4-BE49-F238E27FC236}">
              <a16:creationId xmlns:a16="http://schemas.microsoft.com/office/drawing/2014/main" id="{9372B7A8-A07F-41C2-BF18-EC8993FA441E}"/>
            </a:ext>
          </a:extLst>
        </xdr:cNvPr>
        <xdr:cNvGrpSpPr/>
      </xdr:nvGrpSpPr>
      <xdr:grpSpPr>
        <a:xfrm>
          <a:off x="6379010" y="10114213"/>
          <a:ext cx="182763" cy="224496"/>
          <a:chOff x="6572251" y="7468545"/>
          <a:chExt cx="223837" cy="280178"/>
        </a:xfrm>
      </xdr:grpSpPr>
      <xdr:sp macro="" textlink="">
        <xdr:nvSpPr>
          <xdr:cNvPr id="557" name="Elipse 556">
            <a:extLst>
              <a:ext uri="{FF2B5EF4-FFF2-40B4-BE49-F238E27FC236}">
                <a16:creationId xmlns:a16="http://schemas.microsoft.com/office/drawing/2014/main" id="{E9363E48-96FB-29E9-B73F-400E619CBC4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58" name="CaixaDeTexto 557">
            <a:extLst>
              <a:ext uri="{FF2B5EF4-FFF2-40B4-BE49-F238E27FC236}">
                <a16:creationId xmlns:a16="http://schemas.microsoft.com/office/drawing/2014/main" id="{7F70843D-41F7-8EB9-8D62-E69F55CFCAB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44</xdr:row>
      <xdr:rowOff>216783</xdr:rowOff>
    </xdr:from>
    <xdr:to>
      <xdr:col>7</xdr:col>
      <xdr:colOff>725408</xdr:colOff>
      <xdr:row>45</xdr:row>
      <xdr:rowOff>220278</xdr:rowOff>
    </xdr:to>
    <xdr:grpSp>
      <xdr:nvGrpSpPr>
        <xdr:cNvPr id="559" name="Agrupar 558">
          <a:extLst>
            <a:ext uri="{FF2B5EF4-FFF2-40B4-BE49-F238E27FC236}">
              <a16:creationId xmlns:a16="http://schemas.microsoft.com/office/drawing/2014/main" id="{D9840DCB-6B61-4B9F-917F-569716083104}"/>
            </a:ext>
          </a:extLst>
        </xdr:cNvPr>
        <xdr:cNvGrpSpPr/>
      </xdr:nvGrpSpPr>
      <xdr:grpSpPr>
        <a:xfrm>
          <a:off x="6899075" y="10122783"/>
          <a:ext cx="182763" cy="225343"/>
          <a:chOff x="6572251" y="7477594"/>
          <a:chExt cx="223837" cy="280178"/>
        </a:xfrm>
      </xdr:grpSpPr>
      <xdr:sp macro="" textlink="">
        <xdr:nvSpPr>
          <xdr:cNvPr id="560" name="Elipse 559">
            <a:extLst>
              <a:ext uri="{FF2B5EF4-FFF2-40B4-BE49-F238E27FC236}">
                <a16:creationId xmlns:a16="http://schemas.microsoft.com/office/drawing/2014/main" id="{092927DD-223C-EBFA-A621-4265ECB84B7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61" name="CaixaDeTexto 560">
            <a:extLst>
              <a:ext uri="{FF2B5EF4-FFF2-40B4-BE49-F238E27FC236}">
                <a16:creationId xmlns:a16="http://schemas.microsoft.com/office/drawing/2014/main" id="{DB716708-CE42-D11A-687E-1347EABDEAB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45</xdr:row>
      <xdr:rowOff>208213</xdr:rowOff>
    </xdr:from>
    <xdr:to>
      <xdr:col>7</xdr:col>
      <xdr:colOff>205343</xdr:colOff>
      <xdr:row>46</xdr:row>
      <xdr:rowOff>210861</xdr:rowOff>
    </xdr:to>
    <xdr:grpSp>
      <xdr:nvGrpSpPr>
        <xdr:cNvPr id="562" name="Agrupar 561">
          <a:extLst>
            <a:ext uri="{FF2B5EF4-FFF2-40B4-BE49-F238E27FC236}">
              <a16:creationId xmlns:a16="http://schemas.microsoft.com/office/drawing/2014/main" id="{35D9D330-AB89-40A5-82AE-DC37EBB6B32D}"/>
            </a:ext>
          </a:extLst>
        </xdr:cNvPr>
        <xdr:cNvGrpSpPr/>
      </xdr:nvGrpSpPr>
      <xdr:grpSpPr>
        <a:xfrm>
          <a:off x="6379010" y="10336061"/>
          <a:ext cx="182763" cy="224496"/>
          <a:chOff x="6572251" y="7468545"/>
          <a:chExt cx="223837" cy="280178"/>
        </a:xfrm>
      </xdr:grpSpPr>
      <xdr:sp macro="" textlink="">
        <xdr:nvSpPr>
          <xdr:cNvPr id="563" name="Elipse 562">
            <a:extLst>
              <a:ext uri="{FF2B5EF4-FFF2-40B4-BE49-F238E27FC236}">
                <a16:creationId xmlns:a16="http://schemas.microsoft.com/office/drawing/2014/main" id="{642466F5-E9A9-FD9E-9EE5-F5E539CC0B1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64" name="CaixaDeTexto 563">
            <a:extLst>
              <a:ext uri="{FF2B5EF4-FFF2-40B4-BE49-F238E27FC236}">
                <a16:creationId xmlns:a16="http://schemas.microsoft.com/office/drawing/2014/main" id="{B41595F7-3DD2-AC23-B883-89C54371C25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45</xdr:row>
      <xdr:rowOff>216783</xdr:rowOff>
    </xdr:from>
    <xdr:to>
      <xdr:col>7</xdr:col>
      <xdr:colOff>725408</xdr:colOff>
      <xdr:row>46</xdr:row>
      <xdr:rowOff>220278</xdr:rowOff>
    </xdr:to>
    <xdr:grpSp>
      <xdr:nvGrpSpPr>
        <xdr:cNvPr id="565" name="Agrupar 564">
          <a:extLst>
            <a:ext uri="{FF2B5EF4-FFF2-40B4-BE49-F238E27FC236}">
              <a16:creationId xmlns:a16="http://schemas.microsoft.com/office/drawing/2014/main" id="{90848C26-84DE-4F5D-AD67-3B41526E8011}"/>
            </a:ext>
          </a:extLst>
        </xdr:cNvPr>
        <xdr:cNvGrpSpPr/>
      </xdr:nvGrpSpPr>
      <xdr:grpSpPr>
        <a:xfrm>
          <a:off x="6899075" y="10344631"/>
          <a:ext cx="182763" cy="225343"/>
          <a:chOff x="6572251" y="7477594"/>
          <a:chExt cx="223837" cy="280178"/>
        </a:xfrm>
      </xdr:grpSpPr>
      <xdr:sp macro="" textlink="">
        <xdr:nvSpPr>
          <xdr:cNvPr id="566" name="Elipse 565">
            <a:extLst>
              <a:ext uri="{FF2B5EF4-FFF2-40B4-BE49-F238E27FC236}">
                <a16:creationId xmlns:a16="http://schemas.microsoft.com/office/drawing/2014/main" id="{B0B20B9E-0C07-92D6-3272-A3A88C08882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67" name="CaixaDeTexto 566">
            <a:extLst>
              <a:ext uri="{FF2B5EF4-FFF2-40B4-BE49-F238E27FC236}">
                <a16:creationId xmlns:a16="http://schemas.microsoft.com/office/drawing/2014/main" id="{48060370-AD10-BAFB-CCF6-0F33E44B95B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46</xdr:row>
      <xdr:rowOff>208213</xdr:rowOff>
    </xdr:from>
    <xdr:to>
      <xdr:col>7</xdr:col>
      <xdr:colOff>205343</xdr:colOff>
      <xdr:row>47</xdr:row>
      <xdr:rowOff>210861</xdr:rowOff>
    </xdr:to>
    <xdr:grpSp>
      <xdr:nvGrpSpPr>
        <xdr:cNvPr id="568" name="Agrupar 567">
          <a:extLst>
            <a:ext uri="{FF2B5EF4-FFF2-40B4-BE49-F238E27FC236}">
              <a16:creationId xmlns:a16="http://schemas.microsoft.com/office/drawing/2014/main" id="{B7934625-03B0-40B1-88B5-D9748247C32B}"/>
            </a:ext>
          </a:extLst>
        </xdr:cNvPr>
        <xdr:cNvGrpSpPr/>
      </xdr:nvGrpSpPr>
      <xdr:grpSpPr>
        <a:xfrm>
          <a:off x="6379010" y="10557909"/>
          <a:ext cx="182763" cy="224496"/>
          <a:chOff x="6572251" y="7468545"/>
          <a:chExt cx="223837" cy="280178"/>
        </a:xfrm>
      </xdr:grpSpPr>
      <xdr:sp macro="" textlink="">
        <xdr:nvSpPr>
          <xdr:cNvPr id="569" name="Elipse 568">
            <a:extLst>
              <a:ext uri="{FF2B5EF4-FFF2-40B4-BE49-F238E27FC236}">
                <a16:creationId xmlns:a16="http://schemas.microsoft.com/office/drawing/2014/main" id="{56DFBA28-F683-5C2F-85DE-A1441E89B52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70" name="CaixaDeTexto 569">
            <a:extLst>
              <a:ext uri="{FF2B5EF4-FFF2-40B4-BE49-F238E27FC236}">
                <a16:creationId xmlns:a16="http://schemas.microsoft.com/office/drawing/2014/main" id="{CE754635-BC15-4A0A-11E2-0D9A6F12E25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46</xdr:row>
      <xdr:rowOff>216783</xdr:rowOff>
    </xdr:from>
    <xdr:to>
      <xdr:col>7</xdr:col>
      <xdr:colOff>725408</xdr:colOff>
      <xdr:row>47</xdr:row>
      <xdr:rowOff>220278</xdr:rowOff>
    </xdr:to>
    <xdr:grpSp>
      <xdr:nvGrpSpPr>
        <xdr:cNvPr id="571" name="Agrupar 570">
          <a:extLst>
            <a:ext uri="{FF2B5EF4-FFF2-40B4-BE49-F238E27FC236}">
              <a16:creationId xmlns:a16="http://schemas.microsoft.com/office/drawing/2014/main" id="{2B3C8101-B6DF-465D-BC90-5D90B4EF232D}"/>
            </a:ext>
          </a:extLst>
        </xdr:cNvPr>
        <xdr:cNvGrpSpPr/>
      </xdr:nvGrpSpPr>
      <xdr:grpSpPr>
        <a:xfrm>
          <a:off x="6899075" y="10566479"/>
          <a:ext cx="182763" cy="225343"/>
          <a:chOff x="6572251" y="7477594"/>
          <a:chExt cx="223837" cy="280178"/>
        </a:xfrm>
      </xdr:grpSpPr>
      <xdr:sp macro="" textlink="">
        <xdr:nvSpPr>
          <xdr:cNvPr id="572" name="Elipse 571">
            <a:extLst>
              <a:ext uri="{FF2B5EF4-FFF2-40B4-BE49-F238E27FC236}">
                <a16:creationId xmlns:a16="http://schemas.microsoft.com/office/drawing/2014/main" id="{F21759ED-2EBF-7E7E-0F92-B3AD09762B1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73" name="CaixaDeTexto 572">
            <a:extLst>
              <a:ext uri="{FF2B5EF4-FFF2-40B4-BE49-F238E27FC236}">
                <a16:creationId xmlns:a16="http://schemas.microsoft.com/office/drawing/2014/main" id="{7F8F69C2-BF9A-F21C-17DF-533E2515EC9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43</xdr:row>
      <xdr:rowOff>208213</xdr:rowOff>
    </xdr:from>
    <xdr:to>
      <xdr:col>7</xdr:col>
      <xdr:colOff>205343</xdr:colOff>
      <xdr:row>44</xdr:row>
      <xdr:rowOff>210861</xdr:rowOff>
    </xdr:to>
    <xdr:grpSp>
      <xdr:nvGrpSpPr>
        <xdr:cNvPr id="574" name="Agrupar 573">
          <a:extLst>
            <a:ext uri="{FF2B5EF4-FFF2-40B4-BE49-F238E27FC236}">
              <a16:creationId xmlns:a16="http://schemas.microsoft.com/office/drawing/2014/main" id="{AF5D6F48-0AD2-4114-B3FF-5E717F1BDC77}"/>
            </a:ext>
          </a:extLst>
        </xdr:cNvPr>
        <xdr:cNvGrpSpPr/>
      </xdr:nvGrpSpPr>
      <xdr:grpSpPr>
        <a:xfrm>
          <a:off x="6379010" y="9892365"/>
          <a:ext cx="182763" cy="224496"/>
          <a:chOff x="6572251" y="7468545"/>
          <a:chExt cx="223837" cy="280178"/>
        </a:xfrm>
      </xdr:grpSpPr>
      <xdr:sp macro="" textlink="">
        <xdr:nvSpPr>
          <xdr:cNvPr id="575" name="Elipse 574">
            <a:extLst>
              <a:ext uri="{FF2B5EF4-FFF2-40B4-BE49-F238E27FC236}">
                <a16:creationId xmlns:a16="http://schemas.microsoft.com/office/drawing/2014/main" id="{1A76C5B9-145F-AB6F-5377-F85F087A374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76" name="CaixaDeTexto 575">
            <a:extLst>
              <a:ext uri="{FF2B5EF4-FFF2-40B4-BE49-F238E27FC236}">
                <a16:creationId xmlns:a16="http://schemas.microsoft.com/office/drawing/2014/main" id="{395C2874-3002-A044-25BD-C2B75C9F271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43</xdr:row>
      <xdr:rowOff>216783</xdr:rowOff>
    </xdr:from>
    <xdr:to>
      <xdr:col>7</xdr:col>
      <xdr:colOff>725408</xdr:colOff>
      <xdr:row>44</xdr:row>
      <xdr:rowOff>220278</xdr:rowOff>
    </xdr:to>
    <xdr:grpSp>
      <xdr:nvGrpSpPr>
        <xdr:cNvPr id="577" name="Agrupar 576">
          <a:extLst>
            <a:ext uri="{FF2B5EF4-FFF2-40B4-BE49-F238E27FC236}">
              <a16:creationId xmlns:a16="http://schemas.microsoft.com/office/drawing/2014/main" id="{551E10AD-E903-4B88-80C9-A8B41C96B557}"/>
            </a:ext>
          </a:extLst>
        </xdr:cNvPr>
        <xdr:cNvGrpSpPr/>
      </xdr:nvGrpSpPr>
      <xdr:grpSpPr>
        <a:xfrm>
          <a:off x="6899075" y="9900935"/>
          <a:ext cx="182763" cy="225343"/>
          <a:chOff x="6572251" y="7477594"/>
          <a:chExt cx="223837" cy="280178"/>
        </a:xfrm>
      </xdr:grpSpPr>
      <xdr:sp macro="" textlink="">
        <xdr:nvSpPr>
          <xdr:cNvPr id="578" name="Elipse 577">
            <a:extLst>
              <a:ext uri="{FF2B5EF4-FFF2-40B4-BE49-F238E27FC236}">
                <a16:creationId xmlns:a16="http://schemas.microsoft.com/office/drawing/2014/main" id="{0298A178-0229-CFF6-D781-AAEBE2DAC35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79" name="CaixaDeTexto 578">
            <a:extLst>
              <a:ext uri="{FF2B5EF4-FFF2-40B4-BE49-F238E27FC236}">
                <a16:creationId xmlns:a16="http://schemas.microsoft.com/office/drawing/2014/main" id="{6961CA29-E22A-BEE4-5A99-35D3781D56A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47</xdr:row>
      <xdr:rowOff>208213</xdr:rowOff>
    </xdr:from>
    <xdr:to>
      <xdr:col>7</xdr:col>
      <xdr:colOff>205343</xdr:colOff>
      <xdr:row>48</xdr:row>
      <xdr:rowOff>210861</xdr:rowOff>
    </xdr:to>
    <xdr:grpSp>
      <xdr:nvGrpSpPr>
        <xdr:cNvPr id="580" name="Agrupar 579">
          <a:extLst>
            <a:ext uri="{FF2B5EF4-FFF2-40B4-BE49-F238E27FC236}">
              <a16:creationId xmlns:a16="http://schemas.microsoft.com/office/drawing/2014/main" id="{EBC7364A-FCB6-4936-A328-E59D853BEF69}"/>
            </a:ext>
          </a:extLst>
        </xdr:cNvPr>
        <xdr:cNvGrpSpPr/>
      </xdr:nvGrpSpPr>
      <xdr:grpSpPr>
        <a:xfrm>
          <a:off x="6379010" y="10779757"/>
          <a:ext cx="182763" cy="224496"/>
          <a:chOff x="6572251" y="7468545"/>
          <a:chExt cx="223837" cy="280178"/>
        </a:xfrm>
      </xdr:grpSpPr>
      <xdr:sp macro="" textlink="">
        <xdr:nvSpPr>
          <xdr:cNvPr id="581" name="Elipse 580">
            <a:extLst>
              <a:ext uri="{FF2B5EF4-FFF2-40B4-BE49-F238E27FC236}">
                <a16:creationId xmlns:a16="http://schemas.microsoft.com/office/drawing/2014/main" id="{7BC57E3F-61D6-0C01-02E3-D15F4F7A7F4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82" name="CaixaDeTexto 581">
            <a:extLst>
              <a:ext uri="{FF2B5EF4-FFF2-40B4-BE49-F238E27FC236}">
                <a16:creationId xmlns:a16="http://schemas.microsoft.com/office/drawing/2014/main" id="{A3ED4B16-AA16-A03B-4AF4-D439046B96C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47</xdr:row>
      <xdr:rowOff>216783</xdr:rowOff>
    </xdr:from>
    <xdr:to>
      <xdr:col>7</xdr:col>
      <xdr:colOff>725408</xdr:colOff>
      <xdr:row>48</xdr:row>
      <xdr:rowOff>220278</xdr:rowOff>
    </xdr:to>
    <xdr:grpSp>
      <xdr:nvGrpSpPr>
        <xdr:cNvPr id="583" name="Agrupar 582">
          <a:extLst>
            <a:ext uri="{FF2B5EF4-FFF2-40B4-BE49-F238E27FC236}">
              <a16:creationId xmlns:a16="http://schemas.microsoft.com/office/drawing/2014/main" id="{1A3D2E02-1723-40B5-95D7-0626397B6B7D}"/>
            </a:ext>
          </a:extLst>
        </xdr:cNvPr>
        <xdr:cNvGrpSpPr/>
      </xdr:nvGrpSpPr>
      <xdr:grpSpPr>
        <a:xfrm>
          <a:off x="6899075" y="10788327"/>
          <a:ext cx="182763" cy="225343"/>
          <a:chOff x="6572251" y="7477594"/>
          <a:chExt cx="223837" cy="280178"/>
        </a:xfrm>
      </xdr:grpSpPr>
      <xdr:sp macro="" textlink="">
        <xdr:nvSpPr>
          <xdr:cNvPr id="584" name="Elipse 583">
            <a:extLst>
              <a:ext uri="{FF2B5EF4-FFF2-40B4-BE49-F238E27FC236}">
                <a16:creationId xmlns:a16="http://schemas.microsoft.com/office/drawing/2014/main" id="{E47CD985-9CFD-2D46-F7AA-6F27F6C1CE9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85" name="CaixaDeTexto 584">
            <a:extLst>
              <a:ext uri="{FF2B5EF4-FFF2-40B4-BE49-F238E27FC236}">
                <a16:creationId xmlns:a16="http://schemas.microsoft.com/office/drawing/2014/main" id="{BEB8F09C-B33E-EE36-3B9F-9DE80C5CC58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43</xdr:row>
      <xdr:rowOff>208213</xdr:rowOff>
    </xdr:from>
    <xdr:to>
      <xdr:col>7</xdr:col>
      <xdr:colOff>205343</xdr:colOff>
      <xdr:row>44</xdr:row>
      <xdr:rowOff>210861</xdr:rowOff>
    </xdr:to>
    <xdr:grpSp>
      <xdr:nvGrpSpPr>
        <xdr:cNvPr id="586" name="Agrupar 585">
          <a:extLst>
            <a:ext uri="{FF2B5EF4-FFF2-40B4-BE49-F238E27FC236}">
              <a16:creationId xmlns:a16="http://schemas.microsoft.com/office/drawing/2014/main" id="{FBBD25A6-C0EF-4183-9430-AB0B02093472}"/>
            </a:ext>
          </a:extLst>
        </xdr:cNvPr>
        <xdr:cNvGrpSpPr/>
      </xdr:nvGrpSpPr>
      <xdr:grpSpPr>
        <a:xfrm>
          <a:off x="6379010" y="9892365"/>
          <a:ext cx="182763" cy="224496"/>
          <a:chOff x="6572251" y="7468545"/>
          <a:chExt cx="223837" cy="280178"/>
        </a:xfrm>
      </xdr:grpSpPr>
      <xdr:sp macro="" textlink="">
        <xdr:nvSpPr>
          <xdr:cNvPr id="587" name="Elipse 586">
            <a:extLst>
              <a:ext uri="{FF2B5EF4-FFF2-40B4-BE49-F238E27FC236}">
                <a16:creationId xmlns:a16="http://schemas.microsoft.com/office/drawing/2014/main" id="{53DC6D80-6B5E-46ED-6705-71A0940A66F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88" name="CaixaDeTexto 587">
            <a:extLst>
              <a:ext uri="{FF2B5EF4-FFF2-40B4-BE49-F238E27FC236}">
                <a16:creationId xmlns:a16="http://schemas.microsoft.com/office/drawing/2014/main" id="{FE1499B5-131C-224F-259F-DD7D2066EC3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43</xdr:row>
      <xdr:rowOff>216783</xdr:rowOff>
    </xdr:from>
    <xdr:to>
      <xdr:col>7</xdr:col>
      <xdr:colOff>725408</xdr:colOff>
      <xdr:row>44</xdr:row>
      <xdr:rowOff>220278</xdr:rowOff>
    </xdr:to>
    <xdr:grpSp>
      <xdr:nvGrpSpPr>
        <xdr:cNvPr id="589" name="Agrupar 588">
          <a:extLst>
            <a:ext uri="{FF2B5EF4-FFF2-40B4-BE49-F238E27FC236}">
              <a16:creationId xmlns:a16="http://schemas.microsoft.com/office/drawing/2014/main" id="{C3DA3C5A-F4BB-4825-899F-A122DD31DFF3}"/>
            </a:ext>
          </a:extLst>
        </xdr:cNvPr>
        <xdr:cNvGrpSpPr/>
      </xdr:nvGrpSpPr>
      <xdr:grpSpPr>
        <a:xfrm>
          <a:off x="6899075" y="9900935"/>
          <a:ext cx="182763" cy="225343"/>
          <a:chOff x="6572251" y="7477594"/>
          <a:chExt cx="223837" cy="280178"/>
        </a:xfrm>
      </xdr:grpSpPr>
      <xdr:sp macro="" textlink="">
        <xdr:nvSpPr>
          <xdr:cNvPr id="590" name="Elipse 589">
            <a:extLst>
              <a:ext uri="{FF2B5EF4-FFF2-40B4-BE49-F238E27FC236}">
                <a16:creationId xmlns:a16="http://schemas.microsoft.com/office/drawing/2014/main" id="{5C557E21-715F-CD8C-EDAF-3256FE045AD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91" name="CaixaDeTexto 590">
            <a:extLst>
              <a:ext uri="{FF2B5EF4-FFF2-40B4-BE49-F238E27FC236}">
                <a16:creationId xmlns:a16="http://schemas.microsoft.com/office/drawing/2014/main" id="{C7CE626A-E63A-65E4-3CDD-4F42402988E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42</xdr:row>
      <xdr:rowOff>208213</xdr:rowOff>
    </xdr:from>
    <xdr:to>
      <xdr:col>7</xdr:col>
      <xdr:colOff>205343</xdr:colOff>
      <xdr:row>43</xdr:row>
      <xdr:rowOff>210861</xdr:rowOff>
    </xdr:to>
    <xdr:grpSp>
      <xdr:nvGrpSpPr>
        <xdr:cNvPr id="592" name="Agrupar 591">
          <a:extLst>
            <a:ext uri="{FF2B5EF4-FFF2-40B4-BE49-F238E27FC236}">
              <a16:creationId xmlns:a16="http://schemas.microsoft.com/office/drawing/2014/main" id="{32391A39-397F-48A9-BB4F-78AC4AB4F51E}"/>
            </a:ext>
          </a:extLst>
        </xdr:cNvPr>
        <xdr:cNvGrpSpPr/>
      </xdr:nvGrpSpPr>
      <xdr:grpSpPr>
        <a:xfrm>
          <a:off x="6379010" y="9670517"/>
          <a:ext cx="182763" cy="224496"/>
          <a:chOff x="6572251" y="7468545"/>
          <a:chExt cx="223837" cy="280178"/>
        </a:xfrm>
      </xdr:grpSpPr>
      <xdr:sp macro="" textlink="">
        <xdr:nvSpPr>
          <xdr:cNvPr id="593" name="Elipse 592">
            <a:extLst>
              <a:ext uri="{FF2B5EF4-FFF2-40B4-BE49-F238E27FC236}">
                <a16:creationId xmlns:a16="http://schemas.microsoft.com/office/drawing/2014/main" id="{0534582E-9A52-40D5-61AE-8CBED756676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94" name="CaixaDeTexto 593">
            <a:extLst>
              <a:ext uri="{FF2B5EF4-FFF2-40B4-BE49-F238E27FC236}">
                <a16:creationId xmlns:a16="http://schemas.microsoft.com/office/drawing/2014/main" id="{E77BE28E-9EDA-1840-E285-EB607B0F506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42</xdr:row>
      <xdr:rowOff>216783</xdr:rowOff>
    </xdr:from>
    <xdr:to>
      <xdr:col>7</xdr:col>
      <xdr:colOff>725408</xdr:colOff>
      <xdr:row>43</xdr:row>
      <xdr:rowOff>220278</xdr:rowOff>
    </xdr:to>
    <xdr:grpSp>
      <xdr:nvGrpSpPr>
        <xdr:cNvPr id="595" name="Agrupar 594">
          <a:extLst>
            <a:ext uri="{FF2B5EF4-FFF2-40B4-BE49-F238E27FC236}">
              <a16:creationId xmlns:a16="http://schemas.microsoft.com/office/drawing/2014/main" id="{9322BC46-31A7-411E-BBB8-169AEBFD9A28}"/>
            </a:ext>
          </a:extLst>
        </xdr:cNvPr>
        <xdr:cNvGrpSpPr/>
      </xdr:nvGrpSpPr>
      <xdr:grpSpPr>
        <a:xfrm>
          <a:off x="6899075" y="9679087"/>
          <a:ext cx="182763" cy="225343"/>
          <a:chOff x="6572251" y="7477594"/>
          <a:chExt cx="223837" cy="280178"/>
        </a:xfrm>
      </xdr:grpSpPr>
      <xdr:sp macro="" textlink="">
        <xdr:nvSpPr>
          <xdr:cNvPr id="596" name="Elipse 595">
            <a:extLst>
              <a:ext uri="{FF2B5EF4-FFF2-40B4-BE49-F238E27FC236}">
                <a16:creationId xmlns:a16="http://schemas.microsoft.com/office/drawing/2014/main" id="{BE51591D-2E83-4105-E361-14C60A3BAFC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97" name="CaixaDeTexto 596">
            <a:extLst>
              <a:ext uri="{FF2B5EF4-FFF2-40B4-BE49-F238E27FC236}">
                <a16:creationId xmlns:a16="http://schemas.microsoft.com/office/drawing/2014/main" id="{52AC51AC-2E67-315A-AE94-50EC453224C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50</xdr:row>
      <xdr:rowOff>208213</xdr:rowOff>
    </xdr:from>
    <xdr:to>
      <xdr:col>7</xdr:col>
      <xdr:colOff>205343</xdr:colOff>
      <xdr:row>51</xdr:row>
      <xdr:rowOff>210861</xdr:rowOff>
    </xdr:to>
    <xdr:grpSp>
      <xdr:nvGrpSpPr>
        <xdr:cNvPr id="598" name="Agrupar 597">
          <a:extLst>
            <a:ext uri="{FF2B5EF4-FFF2-40B4-BE49-F238E27FC236}">
              <a16:creationId xmlns:a16="http://schemas.microsoft.com/office/drawing/2014/main" id="{0F38957B-956D-4EBC-AE92-24B69BACCAA1}"/>
            </a:ext>
          </a:extLst>
        </xdr:cNvPr>
        <xdr:cNvGrpSpPr/>
      </xdr:nvGrpSpPr>
      <xdr:grpSpPr>
        <a:xfrm>
          <a:off x="6379010" y="11445302"/>
          <a:ext cx="182763" cy="224496"/>
          <a:chOff x="6572251" y="7468545"/>
          <a:chExt cx="223837" cy="280178"/>
        </a:xfrm>
      </xdr:grpSpPr>
      <xdr:sp macro="" textlink="">
        <xdr:nvSpPr>
          <xdr:cNvPr id="599" name="Elipse 598">
            <a:extLst>
              <a:ext uri="{FF2B5EF4-FFF2-40B4-BE49-F238E27FC236}">
                <a16:creationId xmlns:a16="http://schemas.microsoft.com/office/drawing/2014/main" id="{27B9E1FB-2D95-8A57-5D4E-743BAEE353A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00" name="CaixaDeTexto 599">
            <a:extLst>
              <a:ext uri="{FF2B5EF4-FFF2-40B4-BE49-F238E27FC236}">
                <a16:creationId xmlns:a16="http://schemas.microsoft.com/office/drawing/2014/main" id="{9B9C35A0-A0C6-E6CF-32F1-20A2C8DC358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50</xdr:row>
      <xdr:rowOff>216783</xdr:rowOff>
    </xdr:from>
    <xdr:to>
      <xdr:col>7</xdr:col>
      <xdr:colOff>725408</xdr:colOff>
      <xdr:row>51</xdr:row>
      <xdr:rowOff>220278</xdr:rowOff>
    </xdr:to>
    <xdr:grpSp>
      <xdr:nvGrpSpPr>
        <xdr:cNvPr id="601" name="Agrupar 600">
          <a:extLst>
            <a:ext uri="{FF2B5EF4-FFF2-40B4-BE49-F238E27FC236}">
              <a16:creationId xmlns:a16="http://schemas.microsoft.com/office/drawing/2014/main" id="{C8BF3156-22E7-4DC4-B452-B368A61230B8}"/>
            </a:ext>
          </a:extLst>
        </xdr:cNvPr>
        <xdr:cNvGrpSpPr/>
      </xdr:nvGrpSpPr>
      <xdr:grpSpPr>
        <a:xfrm>
          <a:off x="6899075" y="11453872"/>
          <a:ext cx="182763" cy="225343"/>
          <a:chOff x="6572251" y="7477594"/>
          <a:chExt cx="223837" cy="280178"/>
        </a:xfrm>
      </xdr:grpSpPr>
      <xdr:sp macro="" textlink="">
        <xdr:nvSpPr>
          <xdr:cNvPr id="602" name="Elipse 601">
            <a:extLst>
              <a:ext uri="{FF2B5EF4-FFF2-40B4-BE49-F238E27FC236}">
                <a16:creationId xmlns:a16="http://schemas.microsoft.com/office/drawing/2014/main" id="{5558CB39-ECAC-0AFD-62BB-E8BB5B4209B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03" name="CaixaDeTexto 602">
            <a:extLst>
              <a:ext uri="{FF2B5EF4-FFF2-40B4-BE49-F238E27FC236}">
                <a16:creationId xmlns:a16="http://schemas.microsoft.com/office/drawing/2014/main" id="{48A6B61E-F464-E150-0C8B-1A38741FDF9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51</xdr:row>
      <xdr:rowOff>208213</xdr:rowOff>
    </xdr:from>
    <xdr:to>
      <xdr:col>7</xdr:col>
      <xdr:colOff>205343</xdr:colOff>
      <xdr:row>52</xdr:row>
      <xdr:rowOff>210861</xdr:rowOff>
    </xdr:to>
    <xdr:grpSp>
      <xdr:nvGrpSpPr>
        <xdr:cNvPr id="604" name="Agrupar 603">
          <a:extLst>
            <a:ext uri="{FF2B5EF4-FFF2-40B4-BE49-F238E27FC236}">
              <a16:creationId xmlns:a16="http://schemas.microsoft.com/office/drawing/2014/main" id="{84D95526-511C-4D62-BAF1-374C5457926C}"/>
            </a:ext>
          </a:extLst>
        </xdr:cNvPr>
        <xdr:cNvGrpSpPr/>
      </xdr:nvGrpSpPr>
      <xdr:grpSpPr>
        <a:xfrm>
          <a:off x="6379010" y="11667150"/>
          <a:ext cx="182763" cy="224496"/>
          <a:chOff x="6572251" y="7468545"/>
          <a:chExt cx="223837" cy="280178"/>
        </a:xfrm>
      </xdr:grpSpPr>
      <xdr:sp macro="" textlink="">
        <xdr:nvSpPr>
          <xdr:cNvPr id="605" name="Elipse 604">
            <a:extLst>
              <a:ext uri="{FF2B5EF4-FFF2-40B4-BE49-F238E27FC236}">
                <a16:creationId xmlns:a16="http://schemas.microsoft.com/office/drawing/2014/main" id="{6EC6B043-335D-7709-1508-2A005588405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06" name="CaixaDeTexto 605">
            <a:extLst>
              <a:ext uri="{FF2B5EF4-FFF2-40B4-BE49-F238E27FC236}">
                <a16:creationId xmlns:a16="http://schemas.microsoft.com/office/drawing/2014/main" id="{50D90DE2-8A3C-BAE4-21FC-61A8ADF6558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51</xdr:row>
      <xdr:rowOff>216783</xdr:rowOff>
    </xdr:from>
    <xdr:to>
      <xdr:col>7</xdr:col>
      <xdr:colOff>725408</xdr:colOff>
      <xdr:row>52</xdr:row>
      <xdr:rowOff>220278</xdr:rowOff>
    </xdr:to>
    <xdr:grpSp>
      <xdr:nvGrpSpPr>
        <xdr:cNvPr id="607" name="Agrupar 606">
          <a:extLst>
            <a:ext uri="{FF2B5EF4-FFF2-40B4-BE49-F238E27FC236}">
              <a16:creationId xmlns:a16="http://schemas.microsoft.com/office/drawing/2014/main" id="{95D2FD62-FD11-4633-BBCB-4A93C329535F}"/>
            </a:ext>
          </a:extLst>
        </xdr:cNvPr>
        <xdr:cNvGrpSpPr/>
      </xdr:nvGrpSpPr>
      <xdr:grpSpPr>
        <a:xfrm>
          <a:off x="6899075" y="11675720"/>
          <a:ext cx="182763" cy="225343"/>
          <a:chOff x="6572251" y="7477594"/>
          <a:chExt cx="223837" cy="280178"/>
        </a:xfrm>
      </xdr:grpSpPr>
      <xdr:sp macro="" textlink="">
        <xdr:nvSpPr>
          <xdr:cNvPr id="608" name="Elipse 607">
            <a:extLst>
              <a:ext uri="{FF2B5EF4-FFF2-40B4-BE49-F238E27FC236}">
                <a16:creationId xmlns:a16="http://schemas.microsoft.com/office/drawing/2014/main" id="{D2027A06-FCB1-A18B-6D0A-453B44AD21B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09" name="CaixaDeTexto 608">
            <a:extLst>
              <a:ext uri="{FF2B5EF4-FFF2-40B4-BE49-F238E27FC236}">
                <a16:creationId xmlns:a16="http://schemas.microsoft.com/office/drawing/2014/main" id="{EACDA661-FDEF-4CC6-992A-92854A09B8F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52</xdr:row>
      <xdr:rowOff>208213</xdr:rowOff>
    </xdr:from>
    <xdr:to>
      <xdr:col>7</xdr:col>
      <xdr:colOff>205343</xdr:colOff>
      <xdr:row>53</xdr:row>
      <xdr:rowOff>210861</xdr:rowOff>
    </xdr:to>
    <xdr:grpSp>
      <xdr:nvGrpSpPr>
        <xdr:cNvPr id="610" name="Agrupar 609">
          <a:extLst>
            <a:ext uri="{FF2B5EF4-FFF2-40B4-BE49-F238E27FC236}">
              <a16:creationId xmlns:a16="http://schemas.microsoft.com/office/drawing/2014/main" id="{0D60BE8D-C244-4A07-93A5-901C9488D60D}"/>
            </a:ext>
          </a:extLst>
        </xdr:cNvPr>
        <xdr:cNvGrpSpPr/>
      </xdr:nvGrpSpPr>
      <xdr:grpSpPr>
        <a:xfrm>
          <a:off x="6379010" y="11888998"/>
          <a:ext cx="182763" cy="224496"/>
          <a:chOff x="6572251" y="7468545"/>
          <a:chExt cx="223837" cy="280178"/>
        </a:xfrm>
      </xdr:grpSpPr>
      <xdr:sp macro="" textlink="">
        <xdr:nvSpPr>
          <xdr:cNvPr id="611" name="Elipse 610">
            <a:extLst>
              <a:ext uri="{FF2B5EF4-FFF2-40B4-BE49-F238E27FC236}">
                <a16:creationId xmlns:a16="http://schemas.microsoft.com/office/drawing/2014/main" id="{F50561BE-9631-3BCB-85DD-EE81CC95BF7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12" name="CaixaDeTexto 611">
            <a:extLst>
              <a:ext uri="{FF2B5EF4-FFF2-40B4-BE49-F238E27FC236}">
                <a16:creationId xmlns:a16="http://schemas.microsoft.com/office/drawing/2014/main" id="{A0D4781E-A2B1-3E15-324E-D37DC3D73CF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52</xdr:row>
      <xdr:rowOff>216783</xdr:rowOff>
    </xdr:from>
    <xdr:to>
      <xdr:col>7</xdr:col>
      <xdr:colOff>725408</xdr:colOff>
      <xdr:row>53</xdr:row>
      <xdr:rowOff>220278</xdr:rowOff>
    </xdr:to>
    <xdr:grpSp>
      <xdr:nvGrpSpPr>
        <xdr:cNvPr id="613" name="Agrupar 612">
          <a:extLst>
            <a:ext uri="{FF2B5EF4-FFF2-40B4-BE49-F238E27FC236}">
              <a16:creationId xmlns:a16="http://schemas.microsoft.com/office/drawing/2014/main" id="{171554A5-EACD-4CDC-8009-F6B01F14D376}"/>
            </a:ext>
          </a:extLst>
        </xdr:cNvPr>
        <xdr:cNvGrpSpPr/>
      </xdr:nvGrpSpPr>
      <xdr:grpSpPr>
        <a:xfrm>
          <a:off x="6899075" y="11897568"/>
          <a:ext cx="182763" cy="225343"/>
          <a:chOff x="6572251" y="7477594"/>
          <a:chExt cx="223837" cy="280178"/>
        </a:xfrm>
      </xdr:grpSpPr>
      <xdr:sp macro="" textlink="">
        <xdr:nvSpPr>
          <xdr:cNvPr id="614" name="Elipse 613">
            <a:extLst>
              <a:ext uri="{FF2B5EF4-FFF2-40B4-BE49-F238E27FC236}">
                <a16:creationId xmlns:a16="http://schemas.microsoft.com/office/drawing/2014/main" id="{A62FB986-552B-EC60-6103-520720393AC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15" name="CaixaDeTexto 614">
            <a:extLst>
              <a:ext uri="{FF2B5EF4-FFF2-40B4-BE49-F238E27FC236}">
                <a16:creationId xmlns:a16="http://schemas.microsoft.com/office/drawing/2014/main" id="{71D3CDC9-2509-85CE-283B-9FD22AAA122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49</xdr:row>
      <xdr:rowOff>208213</xdr:rowOff>
    </xdr:from>
    <xdr:to>
      <xdr:col>7</xdr:col>
      <xdr:colOff>205343</xdr:colOff>
      <xdr:row>50</xdr:row>
      <xdr:rowOff>210861</xdr:rowOff>
    </xdr:to>
    <xdr:grpSp>
      <xdr:nvGrpSpPr>
        <xdr:cNvPr id="616" name="Agrupar 615">
          <a:extLst>
            <a:ext uri="{FF2B5EF4-FFF2-40B4-BE49-F238E27FC236}">
              <a16:creationId xmlns:a16="http://schemas.microsoft.com/office/drawing/2014/main" id="{79C761FB-83C8-4807-992B-64314DFABA54}"/>
            </a:ext>
          </a:extLst>
        </xdr:cNvPr>
        <xdr:cNvGrpSpPr/>
      </xdr:nvGrpSpPr>
      <xdr:grpSpPr>
        <a:xfrm>
          <a:off x="6379010" y="11223454"/>
          <a:ext cx="182763" cy="224496"/>
          <a:chOff x="6572251" y="7468545"/>
          <a:chExt cx="223837" cy="280178"/>
        </a:xfrm>
      </xdr:grpSpPr>
      <xdr:sp macro="" textlink="">
        <xdr:nvSpPr>
          <xdr:cNvPr id="617" name="Elipse 616">
            <a:extLst>
              <a:ext uri="{FF2B5EF4-FFF2-40B4-BE49-F238E27FC236}">
                <a16:creationId xmlns:a16="http://schemas.microsoft.com/office/drawing/2014/main" id="{D4E267D2-1C7A-82A2-A5F1-66826CD481C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18" name="CaixaDeTexto 617">
            <a:extLst>
              <a:ext uri="{FF2B5EF4-FFF2-40B4-BE49-F238E27FC236}">
                <a16:creationId xmlns:a16="http://schemas.microsoft.com/office/drawing/2014/main" id="{C832F161-AC81-CA85-621A-F9B4C8C3B0F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49</xdr:row>
      <xdr:rowOff>216783</xdr:rowOff>
    </xdr:from>
    <xdr:to>
      <xdr:col>7</xdr:col>
      <xdr:colOff>725408</xdr:colOff>
      <xdr:row>50</xdr:row>
      <xdr:rowOff>220278</xdr:rowOff>
    </xdr:to>
    <xdr:grpSp>
      <xdr:nvGrpSpPr>
        <xdr:cNvPr id="619" name="Agrupar 618">
          <a:extLst>
            <a:ext uri="{FF2B5EF4-FFF2-40B4-BE49-F238E27FC236}">
              <a16:creationId xmlns:a16="http://schemas.microsoft.com/office/drawing/2014/main" id="{15C939E8-092D-4C75-AF3A-C8CF1C7543AE}"/>
            </a:ext>
          </a:extLst>
        </xdr:cNvPr>
        <xdr:cNvGrpSpPr/>
      </xdr:nvGrpSpPr>
      <xdr:grpSpPr>
        <a:xfrm>
          <a:off x="6899075" y="11232024"/>
          <a:ext cx="182763" cy="225343"/>
          <a:chOff x="6572251" y="7477594"/>
          <a:chExt cx="223837" cy="280178"/>
        </a:xfrm>
      </xdr:grpSpPr>
      <xdr:sp macro="" textlink="">
        <xdr:nvSpPr>
          <xdr:cNvPr id="620" name="Elipse 619">
            <a:extLst>
              <a:ext uri="{FF2B5EF4-FFF2-40B4-BE49-F238E27FC236}">
                <a16:creationId xmlns:a16="http://schemas.microsoft.com/office/drawing/2014/main" id="{A4CD20AA-F6A2-BCF9-E4CB-D8130C45C0E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21" name="CaixaDeTexto 620">
            <a:extLst>
              <a:ext uri="{FF2B5EF4-FFF2-40B4-BE49-F238E27FC236}">
                <a16:creationId xmlns:a16="http://schemas.microsoft.com/office/drawing/2014/main" id="{376B97F3-4FF6-FC12-98ED-78F15E37CB3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49</xdr:row>
      <xdr:rowOff>208213</xdr:rowOff>
    </xdr:from>
    <xdr:to>
      <xdr:col>7</xdr:col>
      <xdr:colOff>205343</xdr:colOff>
      <xdr:row>50</xdr:row>
      <xdr:rowOff>210861</xdr:rowOff>
    </xdr:to>
    <xdr:grpSp>
      <xdr:nvGrpSpPr>
        <xdr:cNvPr id="622" name="Agrupar 621">
          <a:extLst>
            <a:ext uri="{FF2B5EF4-FFF2-40B4-BE49-F238E27FC236}">
              <a16:creationId xmlns:a16="http://schemas.microsoft.com/office/drawing/2014/main" id="{5292274A-1923-4FA5-9511-BB6D71082552}"/>
            </a:ext>
          </a:extLst>
        </xdr:cNvPr>
        <xdr:cNvGrpSpPr/>
      </xdr:nvGrpSpPr>
      <xdr:grpSpPr>
        <a:xfrm>
          <a:off x="6379010" y="11223454"/>
          <a:ext cx="182763" cy="224496"/>
          <a:chOff x="6572251" y="7468545"/>
          <a:chExt cx="223837" cy="280178"/>
        </a:xfrm>
      </xdr:grpSpPr>
      <xdr:sp macro="" textlink="">
        <xdr:nvSpPr>
          <xdr:cNvPr id="623" name="Elipse 622">
            <a:extLst>
              <a:ext uri="{FF2B5EF4-FFF2-40B4-BE49-F238E27FC236}">
                <a16:creationId xmlns:a16="http://schemas.microsoft.com/office/drawing/2014/main" id="{E90FC853-4BC9-AE32-5FFF-0975AB9E933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24" name="CaixaDeTexto 623">
            <a:extLst>
              <a:ext uri="{FF2B5EF4-FFF2-40B4-BE49-F238E27FC236}">
                <a16:creationId xmlns:a16="http://schemas.microsoft.com/office/drawing/2014/main" id="{080B5777-F4C7-2A58-6D0C-EA77EFFCE16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49</xdr:row>
      <xdr:rowOff>216783</xdr:rowOff>
    </xdr:from>
    <xdr:to>
      <xdr:col>7</xdr:col>
      <xdr:colOff>725408</xdr:colOff>
      <xdr:row>50</xdr:row>
      <xdr:rowOff>220278</xdr:rowOff>
    </xdr:to>
    <xdr:grpSp>
      <xdr:nvGrpSpPr>
        <xdr:cNvPr id="625" name="Agrupar 624">
          <a:extLst>
            <a:ext uri="{FF2B5EF4-FFF2-40B4-BE49-F238E27FC236}">
              <a16:creationId xmlns:a16="http://schemas.microsoft.com/office/drawing/2014/main" id="{AC764A10-992D-4FFF-8F1C-CE60198A6FD1}"/>
            </a:ext>
          </a:extLst>
        </xdr:cNvPr>
        <xdr:cNvGrpSpPr/>
      </xdr:nvGrpSpPr>
      <xdr:grpSpPr>
        <a:xfrm>
          <a:off x="6899075" y="11232024"/>
          <a:ext cx="182763" cy="225343"/>
          <a:chOff x="6572251" y="7477594"/>
          <a:chExt cx="223837" cy="280178"/>
        </a:xfrm>
      </xdr:grpSpPr>
      <xdr:sp macro="" textlink="">
        <xdr:nvSpPr>
          <xdr:cNvPr id="626" name="Elipse 625">
            <a:extLst>
              <a:ext uri="{FF2B5EF4-FFF2-40B4-BE49-F238E27FC236}">
                <a16:creationId xmlns:a16="http://schemas.microsoft.com/office/drawing/2014/main" id="{8066735C-21F4-2BCF-A9C2-01D301DF9AA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27" name="CaixaDeTexto 626">
            <a:extLst>
              <a:ext uri="{FF2B5EF4-FFF2-40B4-BE49-F238E27FC236}">
                <a16:creationId xmlns:a16="http://schemas.microsoft.com/office/drawing/2014/main" id="{6A89528C-B802-C2A3-F9A8-2C987B23859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48</xdr:row>
      <xdr:rowOff>208213</xdr:rowOff>
    </xdr:from>
    <xdr:to>
      <xdr:col>7</xdr:col>
      <xdr:colOff>205343</xdr:colOff>
      <xdr:row>49</xdr:row>
      <xdr:rowOff>210861</xdr:rowOff>
    </xdr:to>
    <xdr:grpSp>
      <xdr:nvGrpSpPr>
        <xdr:cNvPr id="628" name="Agrupar 627">
          <a:extLst>
            <a:ext uri="{FF2B5EF4-FFF2-40B4-BE49-F238E27FC236}">
              <a16:creationId xmlns:a16="http://schemas.microsoft.com/office/drawing/2014/main" id="{A0B8ED5F-DD34-4AF8-8231-5B756400CF36}"/>
            </a:ext>
          </a:extLst>
        </xdr:cNvPr>
        <xdr:cNvGrpSpPr/>
      </xdr:nvGrpSpPr>
      <xdr:grpSpPr>
        <a:xfrm>
          <a:off x="6379010" y="11001605"/>
          <a:ext cx="182763" cy="224497"/>
          <a:chOff x="6572251" y="7468545"/>
          <a:chExt cx="223837" cy="280178"/>
        </a:xfrm>
      </xdr:grpSpPr>
      <xdr:sp macro="" textlink="">
        <xdr:nvSpPr>
          <xdr:cNvPr id="629" name="Elipse 628">
            <a:extLst>
              <a:ext uri="{FF2B5EF4-FFF2-40B4-BE49-F238E27FC236}">
                <a16:creationId xmlns:a16="http://schemas.microsoft.com/office/drawing/2014/main" id="{56331689-D46E-9553-161B-C7D8417F2DC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30" name="CaixaDeTexto 629">
            <a:extLst>
              <a:ext uri="{FF2B5EF4-FFF2-40B4-BE49-F238E27FC236}">
                <a16:creationId xmlns:a16="http://schemas.microsoft.com/office/drawing/2014/main" id="{17EC0B66-EA2D-E782-8AEA-63817EB2A3D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48</xdr:row>
      <xdr:rowOff>216783</xdr:rowOff>
    </xdr:from>
    <xdr:to>
      <xdr:col>7</xdr:col>
      <xdr:colOff>725408</xdr:colOff>
      <xdr:row>49</xdr:row>
      <xdr:rowOff>220278</xdr:rowOff>
    </xdr:to>
    <xdr:grpSp>
      <xdr:nvGrpSpPr>
        <xdr:cNvPr id="631" name="Agrupar 630">
          <a:extLst>
            <a:ext uri="{FF2B5EF4-FFF2-40B4-BE49-F238E27FC236}">
              <a16:creationId xmlns:a16="http://schemas.microsoft.com/office/drawing/2014/main" id="{DF3D6222-46B9-4114-B2AD-ED23AD3BDAF7}"/>
            </a:ext>
          </a:extLst>
        </xdr:cNvPr>
        <xdr:cNvGrpSpPr/>
      </xdr:nvGrpSpPr>
      <xdr:grpSpPr>
        <a:xfrm>
          <a:off x="6899075" y="11010175"/>
          <a:ext cx="182763" cy="225344"/>
          <a:chOff x="6572251" y="7477594"/>
          <a:chExt cx="223837" cy="280178"/>
        </a:xfrm>
      </xdr:grpSpPr>
      <xdr:sp macro="" textlink="">
        <xdr:nvSpPr>
          <xdr:cNvPr id="632" name="Elipse 631">
            <a:extLst>
              <a:ext uri="{FF2B5EF4-FFF2-40B4-BE49-F238E27FC236}">
                <a16:creationId xmlns:a16="http://schemas.microsoft.com/office/drawing/2014/main" id="{6C5BFA80-376A-6A0B-9204-EFFC5DD87CE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33" name="CaixaDeTexto 632">
            <a:extLst>
              <a:ext uri="{FF2B5EF4-FFF2-40B4-BE49-F238E27FC236}">
                <a16:creationId xmlns:a16="http://schemas.microsoft.com/office/drawing/2014/main" id="{173932FF-CDE1-6696-AD01-3C85C3A6295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53</xdr:row>
      <xdr:rowOff>208213</xdr:rowOff>
    </xdr:from>
    <xdr:to>
      <xdr:col>7</xdr:col>
      <xdr:colOff>205343</xdr:colOff>
      <xdr:row>54</xdr:row>
      <xdr:rowOff>210861</xdr:rowOff>
    </xdr:to>
    <xdr:grpSp>
      <xdr:nvGrpSpPr>
        <xdr:cNvPr id="634" name="Agrupar 633">
          <a:extLst>
            <a:ext uri="{FF2B5EF4-FFF2-40B4-BE49-F238E27FC236}">
              <a16:creationId xmlns:a16="http://schemas.microsoft.com/office/drawing/2014/main" id="{A5D0CE45-4401-4713-B643-43EF43004F63}"/>
            </a:ext>
          </a:extLst>
        </xdr:cNvPr>
        <xdr:cNvGrpSpPr/>
      </xdr:nvGrpSpPr>
      <xdr:grpSpPr>
        <a:xfrm>
          <a:off x="6379010" y="12110846"/>
          <a:ext cx="182763" cy="224496"/>
          <a:chOff x="6572251" y="7468545"/>
          <a:chExt cx="223837" cy="280178"/>
        </a:xfrm>
      </xdr:grpSpPr>
      <xdr:sp macro="" textlink="">
        <xdr:nvSpPr>
          <xdr:cNvPr id="635" name="Elipse 634">
            <a:extLst>
              <a:ext uri="{FF2B5EF4-FFF2-40B4-BE49-F238E27FC236}">
                <a16:creationId xmlns:a16="http://schemas.microsoft.com/office/drawing/2014/main" id="{FEBAABD5-C562-1C5D-EC46-1B20E9CB0A8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36" name="CaixaDeTexto 635">
            <a:extLst>
              <a:ext uri="{FF2B5EF4-FFF2-40B4-BE49-F238E27FC236}">
                <a16:creationId xmlns:a16="http://schemas.microsoft.com/office/drawing/2014/main" id="{A44BECF4-9CD0-9443-5D99-E03EFCEF5A3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53</xdr:row>
      <xdr:rowOff>216783</xdr:rowOff>
    </xdr:from>
    <xdr:to>
      <xdr:col>7</xdr:col>
      <xdr:colOff>725408</xdr:colOff>
      <xdr:row>54</xdr:row>
      <xdr:rowOff>220278</xdr:rowOff>
    </xdr:to>
    <xdr:grpSp>
      <xdr:nvGrpSpPr>
        <xdr:cNvPr id="637" name="Agrupar 636">
          <a:extLst>
            <a:ext uri="{FF2B5EF4-FFF2-40B4-BE49-F238E27FC236}">
              <a16:creationId xmlns:a16="http://schemas.microsoft.com/office/drawing/2014/main" id="{9DE7AFAA-4F16-4242-BAA5-790426C191B4}"/>
            </a:ext>
          </a:extLst>
        </xdr:cNvPr>
        <xdr:cNvGrpSpPr/>
      </xdr:nvGrpSpPr>
      <xdr:grpSpPr>
        <a:xfrm>
          <a:off x="6899075" y="12119416"/>
          <a:ext cx="182763" cy="225343"/>
          <a:chOff x="6572251" y="7477594"/>
          <a:chExt cx="223837" cy="280178"/>
        </a:xfrm>
      </xdr:grpSpPr>
      <xdr:sp macro="" textlink="">
        <xdr:nvSpPr>
          <xdr:cNvPr id="638" name="Elipse 637">
            <a:extLst>
              <a:ext uri="{FF2B5EF4-FFF2-40B4-BE49-F238E27FC236}">
                <a16:creationId xmlns:a16="http://schemas.microsoft.com/office/drawing/2014/main" id="{A833AC59-094C-F771-EE8F-48FA821C066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39" name="CaixaDeTexto 638">
            <a:extLst>
              <a:ext uri="{FF2B5EF4-FFF2-40B4-BE49-F238E27FC236}">
                <a16:creationId xmlns:a16="http://schemas.microsoft.com/office/drawing/2014/main" id="{6540A74C-19D9-7256-B960-2CD805398B7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54</xdr:row>
      <xdr:rowOff>208213</xdr:rowOff>
    </xdr:from>
    <xdr:to>
      <xdr:col>7</xdr:col>
      <xdr:colOff>205343</xdr:colOff>
      <xdr:row>55</xdr:row>
      <xdr:rowOff>210861</xdr:rowOff>
    </xdr:to>
    <xdr:grpSp>
      <xdr:nvGrpSpPr>
        <xdr:cNvPr id="640" name="Agrupar 639">
          <a:extLst>
            <a:ext uri="{FF2B5EF4-FFF2-40B4-BE49-F238E27FC236}">
              <a16:creationId xmlns:a16="http://schemas.microsoft.com/office/drawing/2014/main" id="{7855EEDB-EECD-4AFF-AAB2-81C3370ED502}"/>
            </a:ext>
          </a:extLst>
        </xdr:cNvPr>
        <xdr:cNvGrpSpPr/>
      </xdr:nvGrpSpPr>
      <xdr:grpSpPr>
        <a:xfrm>
          <a:off x="6379010" y="12332694"/>
          <a:ext cx="182763" cy="224496"/>
          <a:chOff x="6572251" y="7468545"/>
          <a:chExt cx="223837" cy="280178"/>
        </a:xfrm>
      </xdr:grpSpPr>
      <xdr:sp macro="" textlink="">
        <xdr:nvSpPr>
          <xdr:cNvPr id="641" name="Elipse 640">
            <a:extLst>
              <a:ext uri="{FF2B5EF4-FFF2-40B4-BE49-F238E27FC236}">
                <a16:creationId xmlns:a16="http://schemas.microsoft.com/office/drawing/2014/main" id="{9980CB97-4B6E-77B6-C341-E640200F0AB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42" name="CaixaDeTexto 641">
            <a:extLst>
              <a:ext uri="{FF2B5EF4-FFF2-40B4-BE49-F238E27FC236}">
                <a16:creationId xmlns:a16="http://schemas.microsoft.com/office/drawing/2014/main" id="{8BA9BB2C-A526-8696-DB01-0834922F27A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54</xdr:row>
      <xdr:rowOff>216783</xdr:rowOff>
    </xdr:from>
    <xdr:to>
      <xdr:col>7</xdr:col>
      <xdr:colOff>725408</xdr:colOff>
      <xdr:row>55</xdr:row>
      <xdr:rowOff>220278</xdr:rowOff>
    </xdr:to>
    <xdr:grpSp>
      <xdr:nvGrpSpPr>
        <xdr:cNvPr id="643" name="Agrupar 642">
          <a:extLst>
            <a:ext uri="{FF2B5EF4-FFF2-40B4-BE49-F238E27FC236}">
              <a16:creationId xmlns:a16="http://schemas.microsoft.com/office/drawing/2014/main" id="{F8ED3F43-83A2-473F-BA9D-FFF14669A1A3}"/>
            </a:ext>
          </a:extLst>
        </xdr:cNvPr>
        <xdr:cNvGrpSpPr/>
      </xdr:nvGrpSpPr>
      <xdr:grpSpPr>
        <a:xfrm>
          <a:off x="6899075" y="12341264"/>
          <a:ext cx="182763" cy="225343"/>
          <a:chOff x="6572251" y="7477594"/>
          <a:chExt cx="223837" cy="280178"/>
        </a:xfrm>
      </xdr:grpSpPr>
      <xdr:sp macro="" textlink="">
        <xdr:nvSpPr>
          <xdr:cNvPr id="644" name="Elipse 643">
            <a:extLst>
              <a:ext uri="{FF2B5EF4-FFF2-40B4-BE49-F238E27FC236}">
                <a16:creationId xmlns:a16="http://schemas.microsoft.com/office/drawing/2014/main" id="{584FADC9-A0A2-6A2B-CD23-7A6ECA47F29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45" name="CaixaDeTexto 644">
            <a:extLst>
              <a:ext uri="{FF2B5EF4-FFF2-40B4-BE49-F238E27FC236}">
                <a16:creationId xmlns:a16="http://schemas.microsoft.com/office/drawing/2014/main" id="{D3F6F992-9568-3195-80DD-4386F063DA0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55</xdr:row>
      <xdr:rowOff>208213</xdr:rowOff>
    </xdr:from>
    <xdr:to>
      <xdr:col>7</xdr:col>
      <xdr:colOff>205343</xdr:colOff>
      <xdr:row>56</xdr:row>
      <xdr:rowOff>210861</xdr:rowOff>
    </xdr:to>
    <xdr:grpSp>
      <xdr:nvGrpSpPr>
        <xdr:cNvPr id="664" name="Agrupar 663">
          <a:extLst>
            <a:ext uri="{FF2B5EF4-FFF2-40B4-BE49-F238E27FC236}">
              <a16:creationId xmlns:a16="http://schemas.microsoft.com/office/drawing/2014/main" id="{7A49C03C-6A85-482F-A393-9BDC143FC203}"/>
            </a:ext>
          </a:extLst>
        </xdr:cNvPr>
        <xdr:cNvGrpSpPr/>
      </xdr:nvGrpSpPr>
      <xdr:grpSpPr>
        <a:xfrm>
          <a:off x="6379010" y="12554542"/>
          <a:ext cx="182763" cy="224496"/>
          <a:chOff x="6572251" y="7468545"/>
          <a:chExt cx="223837" cy="280178"/>
        </a:xfrm>
      </xdr:grpSpPr>
      <xdr:sp macro="" textlink="">
        <xdr:nvSpPr>
          <xdr:cNvPr id="665" name="Elipse 664">
            <a:extLst>
              <a:ext uri="{FF2B5EF4-FFF2-40B4-BE49-F238E27FC236}">
                <a16:creationId xmlns:a16="http://schemas.microsoft.com/office/drawing/2014/main" id="{D0E688CC-43F0-0B0F-E30B-FBEC48F1C7E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66" name="CaixaDeTexto 665">
            <a:extLst>
              <a:ext uri="{FF2B5EF4-FFF2-40B4-BE49-F238E27FC236}">
                <a16:creationId xmlns:a16="http://schemas.microsoft.com/office/drawing/2014/main" id="{B9BE7453-1167-556E-B364-977E313F0DFA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55</xdr:row>
      <xdr:rowOff>216783</xdr:rowOff>
    </xdr:from>
    <xdr:to>
      <xdr:col>7</xdr:col>
      <xdr:colOff>725408</xdr:colOff>
      <xdr:row>56</xdr:row>
      <xdr:rowOff>220278</xdr:rowOff>
    </xdr:to>
    <xdr:grpSp>
      <xdr:nvGrpSpPr>
        <xdr:cNvPr id="667" name="Agrupar 666">
          <a:extLst>
            <a:ext uri="{FF2B5EF4-FFF2-40B4-BE49-F238E27FC236}">
              <a16:creationId xmlns:a16="http://schemas.microsoft.com/office/drawing/2014/main" id="{49FB46E0-61C3-4A9E-9B2D-31A333EF70AA}"/>
            </a:ext>
          </a:extLst>
        </xdr:cNvPr>
        <xdr:cNvGrpSpPr/>
      </xdr:nvGrpSpPr>
      <xdr:grpSpPr>
        <a:xfrm>
          <a:off x="6899075" y="12563112"/>
          <a:ext cx="182763" cy="225343"/>
          <a:chOff x="6572251" y="7477594"/>
          <a:chExt cx="223837" cy="280178"/>
        </a:xfrm>
      </xdr:grpSpPr>
      <xdr:sp macro="" textlink="">
        <xdr:nvSpPr>
          <xdr:cNvPr id="668" name="Elipse 667">
            <a:extLst>
              <a:ext uri="{FF2B5EF4-FFF2-40B4-BE49-F238E27FC236}">
                <a16:creationId xmlns:a16="http://schemas.microsoft.com/office/drawing/2014/main" id="{8D2370FA-675E-AE73-6D85-F2D13917884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69" name="CaixaDeTexto 668">
            <a:extLst>
              <a:ext uri="{FF2B5EF4-FFF2-40B4-BE49-F238E27FC236}">
                <a16:creationId xmlns:a16="http://schemas.microsoft.com/office/drawing/2014/main" id="{B44DE73D-9214-C3FB-96C0-C86FD124395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56</xdr:row>
      <xdr:rowOff>208213</xdr:rowOff>
    </xdr:from>
    <xdr:to>
      <xdr:col>7</xdr:col>
      <xdr:colOff>205343</xdr:colOff>
      <xdr:row>57</xdr:row>
      <xdr:rowOff>210861</xdr:rowOff>
    </xdr:to>
    <xdr:grpSp>
      <xdr:nvGrpSpPr>
        <xdr:cNvPr id="670" name="Agrupar 669">
          <a:extLst>
            <a:ext uri="{FF2B5EF4-FFF2-40B4-BE49-F238E27FC236}">
              <a16:creationId xmlns:a16="http://schemas.microsoft.com/office/drawing/2014/main" id="{5363A096-FDFD-423B-8A61-CE73EB6B0691}"/>
            </a:ext>
          </a:extLst>
        </xdr:cNvPr>
        <xdr:cNvGrpSpPr/>
      </xdr:nvGrpSpPr>
      <xdr:grpSpPr>
        <a:xfrm>
          <a:off x="6379010" y="12776390"/>
          <a:ext cx="182763" cy="224496"/>
          <a:chOff x="6572251" y="7468545"/>
          <a:chExt cx="223837" cy="280178"/>
        </a:xfrm>
      </xdr:grpSpPr>
      <xdr:sp macro="" textlink="">
        <xdr:nvSpPr>
          <xdr:cNvPr id="671" name="Elipse 670">
            <a:extLst>
              <a:ext uri="{FF2B5EF4-FFF2-40B4-BE49-F238E27FC236}">
                <a16:creationId xmlns:a16="http://schemas.microsoft.com/office/drawing/2014/main" id="{C3A4611A-C5EF-3975-E453-8D78476EAA9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72" name="CaixaDeTexto 671">
            <a:extLst>
              <a:ext uri="{FF2B5EF4-FFF2-40B4-BE49-F238E27FC236}">
                <a16:creationId xmlns:a16="http://schemas.microsoft.com/office/drawing/2014/main" id="{DF119261-D93D-FC76-B3C4-6A2963D09A3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56</xdr:row>
      <xdr:rowOff>216783</xdr:rowOff>
    </xdr:from>
    <xdr:to>
      <xdr:col>7</xdr:col>
      <xdr:colOff>725408</xdr:colOff>
      <xdr:row>57</xdr:row>
      <xdr:rowOff>220278</xdr:rowOff>
    </xdr:to>
    <xdr:grpSp>
      <xdr:nvGrpSpPr>
        <xdr:cNvPr id="673" name="Agrupar 672">
          <a:extLst>
            <a:ext uri="{FF2B5EF4-FFF2-40B4-BE49-F238E27FC236}">
              <a16:creationId xmlns:a16="http://schemas.microsoft.com/office/drawing/2014/main" id="{0C998C3F-A2FC-4E85-A68C-1C04324FF38D}"/>
            </a:ext>
          </a:extLst>
        </xdr:cNvPr>
        <xdr:cNvGrpSpPr/>
      </xdr:nvGrpSpPr>
      <xdr:grpSpPr>
        <a:xfrm>
          <a:off x="6899075" y="12784960"/>
          <a:ext cx="182763" cy="225343"/>
          <a:chOff x="6572251" y="7477594"/>
          <a:chExt cx="223837" cy="280178"/>
        </a:xfrm>
      </xdr:grpSpPr>
      <xdr:sp macro="" textlink="">
        <xdr:nvSpPr>
          <xdr:cNvPr id="674" name="Elipse 673">
            <a:extLst>
              <a:ext uri="{FF2B5EF4-FFF2-40B4-BE49-F238E27FC236}">
                <a16:creationId xmlns:a16="http://schemas.microsoft.com/office/drawing/2014/main" id="{5C2EA073-A823-A28C-3E76-D94B57CA24F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75" name="CaixaDeTexto 674">
            <a:extLst>
              <a:ext uri="{FF2B5EF4-FFF2-40B4-BE49-F238E27FC236}">
                <a16:creationId xmlns:a16="http://schemas.microsoft.com/office/drawing/2014/main" id="{477A4AEC-BFC1-8E27-19EF-4AC4F988722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57</xdr:row>
      <xdr:rowOff>208213</xdr:rowOff>
    </xdr:from>
    <xdr:to>
      <xdr:col>7</xdr:col>
      <xdr:colOff>205343</xdr:colOff>
      <xdr:row>58</xdr:row>
      <xdr:rowOff>210861</xdr:rowOff>
    </xdr:to>
    <xdr:grpSp>
      <xdr:nvGrpSpPr>
        <xdr:cNvPr id="676" name="Agrupar 675">
          <a:extLst>
            <a:ext uri="{FF2B5EF4-FFF2-40B4-BE49-F238E27FC236}">
              <a16:creationId xmlns:a16="http://schemas.microsoft.com/office/drawing/2014/main" id="{FC10D3F5-E23D-49B7-87B3-62CC42CD09F2}"/>
            </a:ext>
          </a:extLst>
        </xdr:cNvPr>
        <xdr:cNvGrpSpPr/>
      </xdr:nvGrpSpPr>
      <xdr:grpSpPr>
        <a:xfrm>
          <a:off x="6379010" y="12998238"/>
          <a:ext cx="182763" cy="224496"/>
          <a:chOff x="6572251" y="7468545"/>
          <a:chExt cx="223837" cy="280178"/>
        </a:xfrm>
      </xdr:grpSpPr>
      <xdr:sp macro="" textlink="">
        <xdr:nvSpPr>
          <xdr:cNvPr id="677" name="Elipse 676">
            <a:extLst>
              <a:ext uri="{FF2B5EF4-FFF2-40B4-BE49-F238E27FC236}">
                <a16:creationId xmlns:a16="http://schemas.microsoft.com/office/drawing/2014/main" id="{5A42E371-3768-26CD-BBA9-0A56BAFF103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78" name="CaixaDeTexto 677">
            <a:extLst>
              <a:ext uri="{FF2B5EF4-FFF2-40B4-BE49-F238E27FC236}">
                <a16:creationId xmlns:a16="http://schemas.microsoft.com/office/drawing/2014/main" id="{E5B46AC3-45B0-165D-EB38-C735FEE5894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57</xdr:row>
      <xdr:rowOff>216783</xdr:rowOff>
    </xdr:from>
    <xdr:to>
      <xdr:col>7</xdr:col>
      <xdr:colOff>725408</xdr:colOff>
      <xdr:row>58</xdr:row>
      <xdr:rowOff>220278</xdr:rowOff>
    </xdr:to>
    <xdr:grpSp>
      <xdr:nvGrpSpPr>
        <xdr:cNvPr id="679" name="Agrupar 678">
          <a:extLst>
            <a:ext uri="{FF2B5EF4-FFF2-40B4-BE49-F238E27FC236}">
              <a16:creationId xmlns:a16="http://schemas.microsoft.com/office/drawing/2014/main" id="{7DA00812-8BF4-43C0-BDDB-39CD7B5FB48E}"/>
            </a:ext>
          </a:extLst>
        </xdr:cNvPr>
        <xdr:cNvGrpSpPr/>
      </xdr:nvGrpSpPr>
      <xdr:grpSpPr>
        <a:xfrm>
          <a:off x="6899075" y="13006808"/>
          <a:ext cx="182763" cy="225343"/>
          <a:chOff x="6572251" y="7477594"/>
          <a:chExt cx="223837" cy="280178"/>
        </a:xfrm>
      </xdr:grpSpPr>
      <xdr:sp macro="" textlink="">
        <xdr:nvSpPr>
          <xdr:cNvPr id="680" name="Elipse 679">
            <a:extLst>
              <a:ext uri="{FF2B5EF4-FFF2-40B4-BE49-F238E27FC236}">
                <a16:creationId xmlns:a16="http://schemas.microsoft.com/office/drawing/2014/main" id="{40952BBB-41C6-492F-5135-1CDDDCDDD0E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81" name="CaixaDeTexto 680">
            <a:extLst>
              <a:ext uri="{FF2B5EF4-FFF2-40B4-BE49-F238E27FC236}">
                <a16:creationId xmlns:a16="http://schemas.microsoft.com/office/drawing/2014/main" id="{2EAE2B13-A61E-220D-6D11-A1719F2F256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58</xdr:row>
      <xdr:rowOff>208213</xdr:rowOff>
    </xdr:from>
    <xdr:to>
      <xdr:col>7</xdr:col>
      <xdr:colOff>205343</xdr:colOff>
      <xdr:row>59</xdr:row>
      <xdr:rowOff>210861</xdr:rowOff>
    </xdr:to>
    <xdr:grpSp>
      <xdr:nvGrpSpPr>
        <xdr:cNvPr id="682" name="Agrupar 681">
          <a:extLst>
            <a:ext uri="{FF2B5EF4-FFF2-40B4-BE49-F238E27FC236}">
              <a16:creationId xmlns:a16="http://schemas.microsoft.com/office/drawing/2014/main" id="{B101F2BF-D45E-42D4-AB4B-4BB1D614E745}"/>
            </a:ext>
          </a:extLst>
        </xdr:cNvPr>
        <xdr:cNvGrpSpPr/>
      </xdr:nvGrpSpPr>
      <xdr:grpSpPr>
        <a:xfrm>
          <a:off x="6379010" y="13220086"/>
          <a:ext cx="182763" cy="224497"/>
          <a:chOff x="6572251" y="7468545"/>
          <a:chExt cx="223837" cy="280178"/>
        </a:xfrm>
      </xdr:grpSpPr>
      <xdr:sp macro="" textlink="">
        <xdr:nvSpPr>
          <xdr:cNvPr id="683" name="Elipse 682">
            <a:extLst>
              <a:ext uri="{FF2B5EF4-FFF2-40B4-BE49-F238E27FC236}">
                <a16:creationId xmlns:a16="http://schemas.microsoft.com/office/drawing/2014/main" id="{8E7F35EB-01AF-2220-0174-38A36983E5B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84" name="CaixaDeTexto 683">
            <a:extLst>
              <a:ext uri="{FF2B5EF4-FFF2-40B4-BE49-F238E27FC236}">
                <a16:creationId xmlns:a16="http://schemas.microsoft.com/office/drawing/2014/main" id="{4A23A67A-6575-0B5D-FF98-A91212AD59E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58</xdr:row>
      <xdr:rowOff>216783</xdr:rowOff>
    </xdr:from>
    <xdr:to>
      <xdr:col>7</xdr:col>
      <xdr:colOff>725408</xdr:colOff>
      <xdr:row>59</xdr:row>
      <xdr:rowOff>220278</xdr:rowOff>
    </xdr:to>
    <xdr:grpSp>
      <xdr:nvGrpSpPr>
        <xdr:cNvPr id="685" name="Agrupar 684">
          <a:extLst>
            <a:ext uri="{FF2B5EF4-FFF2-40B4-BE49-F238E27FC236}">
              <a16:creationId xmlns:a16="http://schemas.microsoft.com/office/drawing/2014/main" id="{2FFB91BF-A887-4348-AACB-6ECECBC7EB9A}"/>
            </a:ext>
          </a:extLst>
        </xdr:cNvPr>
        <xdr:cNvGrpSpPr/>
      </xdr:nvGrpSpPr>
      <xdr:grpSpPr>
        <a:xfrm>
          <a:off x="6899075" y="13228656"/>
          <a:ext cx="182763" cy="225344"/>
          <a:chOff x="6572251" y="7477594"/>
          <a:chExt cx="223837" cy="280178"/>
        </a:xfrm>
      </xdr:grpSpPr>
      <xdr:sp macro="" textlink="">
        <xdr:nvSpPr>
          <xdr:cNvPr id="686" name="Elipse 685">
            <a:extLst>
              <a:ext uri="{FF2B5EF4-FFF2-40B4-BE49-F238E27FC236}">
                <a16:creationId xmlns:a16="http://schemas.microsoft.com/office/drawing/2014/main" id="{335D99CD-4ECC-EF1A-72AC-AF36C54E360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87" name="CaixaDeTexto 686">
            <a:extLst>
              <a:ext uri="{FF2B5EF4-FFF2-40B4-BE49-F238E27FC236}">
                <a16:creationId xmlns:a16="http://schemas.microsoft.com/office/drawing/2014/main" id="{A1604562-9ECE-C0CD-5E63-21C72ADCCFD8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59</xdr:row>
      <xdr:rowOff>208213</xdr:rowOff>
    </xdr:from>
    <xdr:to>
      <xdr:col>7</xdr:col>
      <xdr:colOff>205343</xdr:colOff>
      <xdr:row>60</xdr:row>
      <xdr:rowOff>210861</xdr:rowOff>
    </xdr:to>
    <xdr:grpSp>
      <xdr:nvGrpSpPr>
        <xdr:cNvPr id="688" name="Agrupar 687">
          <a:extLst>
            <a:ext uri="{FF2B5EF4-FFF2-40B4-BE49-F238E27FC236}">
              <a16:creationId xmlns:a16="http://schemas.microsoft.com/office/drawing/2014/main" id="{85E3474C-5CE3-4DF0-9700-D994EFCB6B6F}"/>
            </a:ext>
          </a:extLst>
        </xdr:cNvPr>
        <xdr:cNvGrpSpPr/>
      </xdr:nvGrpSpPr>
      <xdr:grpSpPr>
        <a:xfrm>
          <a:off x="6379010" y="13441935"/>
          <a:ext cx="182763" cy="224496"/>
          <a:chOff x="6572251" y="7468545"/>
          <a:chExt cx="223837" cy="280178"/>
        </a:xfrm>
      </xdr:grpSpPr>
      <xdr:sp macro="" textlink="">
        <xdr:nvSpPr>
          <xdr:cNvPr id="689" name="Elipse 688">
            <a:extLst>
              <a:ext uri="{FF2B5EF4-FFF2-40B4-BE49-F238E27FC236}">
                <a16:creationId xmlns:a16="http://schemas.microsoft.com/office/drawing/2014/main" id="{A8E53783-71B0-49D0-9B91-26F64ECC99E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90" name="CaixaDeTexto 689">
            <a:extLst>
              <a:ext uri="{FF2B5EF4-FFF2-40B4-BE49-F238E27FC236}">
                <a16:creationId xmlns:a16="http://schemas.microsoft.com/office/drawing/2014/main" id="{8D24C036-496E-5F65-ADC2-DB36C87CA7C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59</xdr:row>
      <xdr:rowOff>216783</xdr:rowOff>
    </xdr:from>
    <xdr:to>
      <xdr:col>7</xdr:col>
      <xdr:colOff>725408</xdr:colOff>
      <xdr:row>61</xdr:row>
      <xdr:rowOff>2563</xdr:rowOff>
    </xdr:to>
    <xdr:grpSp>
      <xdr:nvGrpSpPr>
        <xdr:cNvPr id="691" name="Agrupar 690">
          <a:extLst>
            <a:ext uri="{FF2B5EF4-FFF2-40B4-BE49-F238E27FC236}">
              <a16:creationId xmlns:a16="http://schemas.microsoft.com/office/drawing/2014/main" id="{7D44B357-25B6-4747-80F6-EF5FD29260AD}"/>
            </a:ext>
          </a:extLst>
        </xdr:cNvPr>
        <xdr:cNvGrpSpPr/>
      </xdr:nvGrpSpPr>
      <xdr:grpSpPr>
        <a:xfrm>
          <a:off x="6899075" y="13450505"/>
          <a:ext cx="182763" cy="229476"/>
          <a:chOff x="6572251" y="7477594"/>
          <a:chExt cx="223837" cy="280178"/>
        </a:xfrm>
      </xdr:grpSpPr>
      <xdr:sp macro="" textlink="">
        <xdr:nvSpPr>
          <xdr:cNvPr id="692" name="Elipse 691">
            <a:extLst>
              <a:ext uri="{FF2B5EF4-FFF2-40B4-BE49-F238E27FC236}">
                <a16:creationId xmlns:a16="http://schemas.microsoft.com/office/drawing/2014/main" id="{E5D47089-074C-62A0-94CC-16215FDECA1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93" name="CaixaDeTexto 692">
            <a:extLst>
              <a:ext uri="{FF2B5EF4-FFF2-40B4-BE49-F238E27FC236}">
                <a16:creationId xmlns:a16="http://schemas.microsoft.com/office/drawing/2014/main" id="{D6380EBA-5ED7-E666-F6E7-3626F65D55D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60</xdr:row>
      <xdr:rowOff>208213</xdr:rowOff>
    </xdr:from>
    <xdr:to>
      <xdr:col>7</xdr:col>
      <xdr:colOff>205343</xdr:colOff>
      <xdr:row>61</xdr:row>
      <xdr:rowOff>210861</xdr:rowOff>
    </xdr:to>
    <xdr:grpSp>
      <xdr:nvGrpSpPr>
        <xdr:cNvPr id="694" name="Agrupar 693">
          <a:extLst>
            <a:ext uri="{FF2B5EF4-FFF2-40B4-BE49-F238E27FC236}">
              <a16:creationId xmlns:a16="http://schemas.microsoft.com/office/drawing/2014/main" id="{D266C75A-1833-4139-A7B1-9C7189A25B5D}"/>
            </a:ext>
          </a:extLst>
        </xdr:cNvPr>
        <xdr:cNvGrpSpPr/>
      </xdr:nvGrpSpPr>
      <xdr:grpSpPr>
        <a:xfrm>
          <a:off x="6379010" y="13663783"/>
          <a:ext cx="182763" cy="224496"/>
          <a:chOff x="6572251" y="7468545"/>
          <a:chExt cx="223837" cy="280178"/>
        </a:xfrm>
      </xdr:grpSpPr>
      <xdr:sp macro="" textlink="">
        <xdr:nvSpPr>
          <xdr:cNvPr id="695" name="Elipse 694">
            <a:extLst>
              <a:ext uri="{FF2B5EF4-FFF2-40B4-BE49-F238E27FC236}">
                <a16:creationId xmlns:a16="http://schemas.microsoft.com/office/drawing/2014/main" id="{F979E36C-CF16-FC2D-C12A-E8AD7DC02A5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96" name="CaixaDeTexto 695">
            <a:extLst>
              <a:ext uri="{FF2B5EF4-FFF2-40B4-BE49-F238E27FC236}">
                <a16:creationId xmlns:a16="http://schemas.microsoft.com/office/drawing/2014/main" id="{D84D1451-B9A6-03FC-F580-A87C30571A5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60</xdr:row>
      <xdr:rowOff>216783</xdr:rowOff>
    </xdr:from>
    <xdr:to>
      <xdr:col>7</xdr:col>
      <xdr:colOff>725408</xdr:colOff>
      <xdr:row>62</xdr:row>
      <xdr:rowOff>2564</xdr:rowOff>
    </xdr:to>
    <xdr:grpSp>
      <xdr:nvGrpSpPr>
        <xdr:cNvPr id="697" name="Agrupar 696">
          <a:extLst>
            <a:ext uri="{FF2B5EF4-FFF2-40B4-BE49-F238E27FC236}">
              <a16:creationId xmlns:a16="http://schemas.microsoft.com/office/drawing/2014/main" id="{404AD35C-844E-4D21-9096-7BFDDFD9B11C}"/>
            </a:ext>
          </a:extLst>
        </xdr:cNvPr>
        <xdr:cNvGrpSpPr/>
      </xdr:nvGrpSpPr>
      <xdr:grpSpPr>
        <a:xfrm>
          <a:off x="6899075" y="13672353"/>
          <a:ext cx="182763" cy="229477"/>
          <a:chOff x="6572251" y="7477594"/>
          <a:chExt cx="223837" cy="280178"/>
        </a:xfrm>
      </xdr:grpSpPr>
      <xdr:sp macro="" textlink="">
        <xdr:nvSpPr>
          <xdr:cNvPr id="698" name="Elipse 697">
            <a:extLst>
              <a:ext uri="{FF2B5EF4-FFF2-40B4-BE49-F238E27FC236}">
                <a16:creationId xmlns:a16="http://schemas.microsoft.com/office/drawing/2014/main" id="{696D0DC7-7CB0-F5E1-B564-60A3DF06663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99" name="CaixaDeTexto 698">
            <a:extLst>
              <a:ext uri="{FF2B5EF4-FFF2-40B4-BE49-F238E27FC236}">
                <a16:creationId xmlns:a16="http://schemas.microsoft.com/office/drawing/2014/main" id="{6BA4332B-27BD-9ECD-7FDF-095BEE07F0C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61</xdr:row>
      <xdr:rowOff>208213</xdr:rowOff>
    </xdr:from>
    <xdr:to>
      <xdr:col>7</xdr:col>
      <xdr:colOff>205343</xdr:colOff>
      <xdr:row>62</xdr:row>
      <xdr:rowOff>210861</xdr:rowOff>
    </xdr:to>
    <xdr:grpSp>
      <xdr:nvGrpSpPr>
        <xdr:cNvPr id="700" name="Agrupar 699">
          <a:extLst>
            <a:ext uri="{FF2B5EF4-FFF2-40B4-BE49-F238E27FC236}">
              <a16:creationId xmlns:a16="http://schemas.microsoft.com/office/drawing/2014/main" id="{24070395-BFD2-4700-AC70-DCCCA3161287}"/>
            </a:ext>
          </a:extLst>
        </xdr:cNvPr>
        <xdr:cNvGrpSpPr/>
      </xdr:nvGrpSpPr>
      <xdr:grpSpPr>
        <a:xfrm>
          <a:off x="6379010" y="13885631"/>
          <a:ext cx="182763" cy="224496"/>
          <a:chOff x="6572251" y="7468545"/>
          <a:chExt cx="223837" cy="280178"/>
        </a:xfrm>
      </xdr:grpSpPr>
      <xdr:sp macro="" textlink="">
        <xdr:nvSpPr>
          <xdr:cNvPr id="701" name="Elipse 700">
            <a:extLst>
              <a:ext uri="{FF2B5EF4-FFF2-40B4-BE49-F238E27FC236}">
                <a16:creationId xmlns:a16="http://schemas.microsoft.com/office/drawing/2014/main" id="{8643EE52-C998-0EDD-1E2C-ED29E1F3987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02" name="CaixaDeTexto 701">
            <a:extLst>
              <a:ext uri="{FF2B5EF4-FFF2-40B4-BE49-F238E27FC236}">
                <a16:creationId xmlns:a16="http://schemas.microsoft.com/office/drawing/2014/main" id="{F18D0872-CC11-19FC-85B4-68BA25A09AF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61</xdr:row>
      <xdr:rowOff>216783</xdr:rowOff>
    </xdr:from>
    <xdr:to>
      <xdr:col>7</xdr:col>
      <xdr:colOff>725408</xdr:colOff>
      <xdr:row>63</xdr:row>
      <xdr:rowOff>2564</xdr:rowOff>
    </xdr:to>
    <xdr:grpSp>
      <xdr:nvGrpSpPr>
        <xdr:cNvPr id="703" name="Agrupar 702">
          <a:extLst>
            <a:ext uri="{FF2B5EF4-FFF2-40B4-BE49-F238E27FC236}">
              <a16:creationId xmlns:a16="http://schemas.microsoft.com/office/drawing/2014/main" id="{EFF713BF-E646-43AE-8EC1-9661D3F4413D}"/>
            </a:ext>
          </a:extLst>
        </xdr:cNvPr>
        <xdr:cNvGrpSpPr/>
      </xdr:nvGrpSpPr>
      <xdr:grpSpPr>
        <a:xfrm>
          <a:off x="6899075" y="13894201"/>
          <a:ext cx="182763" cy="229477"/>
          <a:chOff x="6572251" y="7477594"/>
          <a:chExt cx="223837" cy="280178"/>
        </a:xfrm>
      </xdr:grpSpPr>
      <xdr:sp macro="" textlink="">
        <xdr:nvSpPr>
          <xdr:cNvPr id="704" name="Elipse 703">
            <a:extLst>
              <a:ext uri="{FF2B5EF4-FFF2-40B4-BE49-F238E27FC236}">
                <a16:creationId xmlns:a16="http://schemas.microsoft.com/office/drawing/2014/main" id="{24A2DC9B-ED9A-2067-B702-801EBD62EC5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05" name="CaixaDeTexto 704">
            <a:extLst>
              <a:ext uri="{FF2B5EF4-FFF2-40B4-BE49-F238E27FC236}">
                <a16:creationId xmlns:a16="http://schemas.microsoft.com/office/drawing/2014/main" id="{6EE7B982-6E70-1AED-6578-91DE6CD6A0E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62</xdr:row>
      <xdr:rowOff>208213</xdr:rowOff>
    </xdr:from>
    <xdr:to>
      <xdr:col>7</xdr:col>
      <xdr:colOff>205343</xdr:colOff>
      <xdr:row>63</xdr:row>
      <xdr:rowOff>210861</xdr:rowOff>
    </xdr:to>
    <xdr:grpSp>
      <xdr:nvGrpSpPr>
        <xdr:cNvPr id="706" name="Agrupar 705">
          <a:extLst>
            <a:ext uri="{FF2B5EF4-FFF2-40B4-BE49-F238E27FC236}">
              <a16:creationId xmlns:a16="http://schemas.microsoft.com/office/drawing/2014/main" id="{6C9E634A-9CBC-4A2D-B130-3C6A616D01FA}"/>
            </a:ext>
          </a:extLst>
        </xdr:cNvPr>
        <xdr:cNvGrpSpPr/>
      </xdr:nvGrpSpPr>
      <xdr:grpSpPr>
        <a:xfrm>
          <a:off x="6379010" y="14107479"/>
          <a:ext cx="182763" cy="224496"/>
          <a:chOff x="6572251" y="7468545"/>
          <a:chExt cx="223837" cy="280178"/>
        </a:xfrm>
      </xdr:grpSpPr>
      <xdr:sp macro="" textlink="">
        <xdr:nvSpPr>
          <xdr:cNvPr id="707" name="Elipse 706">
            <a:extLst>
              <a:ext uri="{FF2B5EF4-FFF2-40B4-BE49-F238E27FC236}">
                <a16:creationId xmlns:a16="http://schemas.microsoft.com/office/drawing/2014/main" id="{B9BF279C-7478-E58E-276D-9CA8590AE5B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08" name="CaixaDeTexto 707">
            <a:extLst>
              <a:ext uri="{FF2B5EF4-FFF2-40B4-BE49-F238E27FC236}">
                <a16:creationId xmlns:a16="http://schemas.microsoft.com/office/drawing/2014/main" id="{B5A75E5F-8BB8-2954-107A-F2552DBC58E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62</xdr:row>
      <xdr:rowOff>216783</xdr:rowOff>
    </xdr:from>
    <xdr:to>
      <xdr:col>7</xdr:col>
      <xdr:colOff>725408</xdr:colOff>
      <xdr:row>64</xdr:row>
      <xdr:rowOff>2564</xdr:rowOff>
    </xdr:to>
    <xdr:grpSp>
      <xdr:nvGrpSpPr>
        <xdr:cNvPr id="709" name="Agrupar 708">
          <a:extLst>
            <a:ext uri="{FF2B5EF4-FFF2-40B4-BE49-F238E27FC236}">
              <a16:creationId xmlns:a16="http://schemas.microsoft.com/office/drawing/2014/main" id="{FF249B38-CD11-425E-8BAC-5FDA77B1ADE6}"/>
            </a:ext>
          </a:extLst>
        </xdr:cNvPr>
        <xdr:cNvGrpSpPr/>
      </xdr:nvGrpSpPr>
      <xdr:grpSpPr>
        <a:xfrm>
          <a:off x="6899075" y="14116049"/>
          <a:ext cx="182763" cy="229477"/>
          <a:chOff x="6572251" y="7477594"/>
          <a:chExt cx="223837" cy="280178"/>
        </a:xfrm>
      </xdr:grpSpPr>
      <xdr:sp macro="" textlink="">
        <xdr:nvSpPr>
          <xdr:cNvPr id="710" name="Elipse 709">
            <a:extLst>
              <a:ext uri="{FF2B5EF4-FFF2-40B4-BE49-F238E27FC236}">
                <a16:creationId xmlns:a16="http://schemas.microsoft.com/office/drawing/2014/main" id="{C6BEBD30-0FCB-C123-C774-DE7EF31B45C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11" name="CaixaDeTexto 710">
            <a:extLst>
              <a:ext uri="{FF2B5EF4-FFF2-40B4-BE49-F238E27FC236}">
                <a16:creationId xmlns:a16="http://schemas.microsoft.com/office/drawing/2014/main" id="{2B770847-2221-C3EA-49C5-8E8CC2B6516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63</xdr:row>
      <xdr:rowOff>208213</xdr:rowOff>
    </xdr:from>
    <xdr:to>
      <xdr:col>7</xdr:col>
      <xdr:colOff>205343</xdr:colOff>
      <xdr:row>64</xdr:row>
      <xdr:rowOff>210861</xdr:rowOff>
    </xdr:to>
    <xdr:grpSp>
      <xdr:nvGrpSpPr>
        <xdr:cNvPr id="712" name="Agrupar 711">
          <a:extLst>
            <a:ext uri="{FF2B5EF4-FFF2-40B4-BE49-F238E27FC236}">
              <a16:creationId xmlns:a16="http://schemas.microsoft.com/office/drawing/2014/main" id="{4BCF11A0-166C-4C21-95A3-A857ADFCB540}"/>
            </a:ext>
          </a:extLst>
        </xdr:cNvPr>
        <xdr:cNvGrpSpPr/>
      </xdr:nvGrpSpPr>
      <xdr:grpSpPr>
        <a:xfrm>
          <a:off x="6379010" y="14329327"/>
          <a:ext cx="182763" cy="224496"/>
          <a:chOff x="6572251" y="7468545"/>
          <a:chExt cx="223837" cy="280178"/>
        </a:xfrm>
      </xdr:grpSpPr>
      <xdr:sp macro="" textlink="">
        <xdr:nvSpPr>
          <xdr:cNvPr id="713" name="Elipse 712">
            <a:extLst>
              <a:ext uri="{FF2B5EF4-FFF2-40B4-BE49-F238E27FC236}">
                <a16:creationId xmlns:a16="http://schemas.microsoft.com/office/drawing/2014/main" id="{0ABB2D2F-E515-7036-21A3-BB260DDD7B6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14" name="CaixaDeTexto 713">
            <a:extLst>
              <a:ext uri="{FF2B5EF4-FFF2-40B4-BE49-F238E27FC236}">
                <a16:creationId xmlns:a16="http://schemas.microsoft.com/office/drawing/2014/main" id="{A62E9C1C-C741-5E93-DE10-DE4F0420A6A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63</xdr:row>
      <xdr:rowOff>216783</xdr:rowOff>
    </xdr:from>
    <xdr:to>
      <xdr:col>7</xdr:col>
      <xdr:colOff>725408</xdr:colOff>
      <xdr:row>65</xdr:row>
      <xdr:rowOff>2563</xdr:rowOff>
    </xdr:to>
    <xdr:grpSp>
      <xdr:nvGrpSpPr>
        <xdr:cNvPr id="715" name="Agrupar 714">
          <a:extLst>
            <a:ext uri="{FF2B5EF4-FFF2-40B4-BE49-F238E27FC236}">
              <a16:creationId xmlns:a16="http://schemas.microsoft.com/office/drawing/2014/main" id="{C1717303-75DB-4A16-B745-6DEC7555E6A7}"/>
            </a:ext>
          </a:extLst>
        </xdr:cNvPr>
        <xdr:cNvGrpSpPr/>
      </xdr:nvGrpSpPr>
      <xdr:grpSpPr>
        <a:xfrm>
          <a:off x="6899075" y="14337897"/>
          <a:ext cx="182763" cy="229476"/>
          <a:chOff x="6572251" y="7477594"/>
          <a:chExt cx="223837" cy="280178"/>
        </a:xfrm>
      </xdr:grpSpPr>
      <xdr:sp macro="" textlink="">
        <xdr:nvSpPr>
          <xdr:cNvPr id="716" name="Elipse 715">
            <a:extLst>
              <a:ext uri="{FF2B5EF4-FFF2-40B4-BE49-F238E27FC236}">
                <a16:creationId xmlns:a16="http://schemas.microsoft.com/office/drawing/2014/main" id="{48B5CF5A-87B0-F92C-D754-45653553CE8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17" name="CaixaDeTexto 716">
            <a:extLst>
              <a:ext uri="{FF2B5EF4-FFF2-40B4-BE49-F238E27FC236}">
                <a16:creationId xmlns:a16="http://schemas.microsoft.com/office/drawing/2014/main" id="{0E5489AF-3510-B5B3-37CC-4C4757C8D81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64</xdr:row>
      <xdr:rowOff>208213</xdr:rowOff>
    </xdr:from>
    <xdr:to>
      <xdr:col>7</xdr:col>
      <xdr:colOff>205343</xdr:colOff>
      <xdr:row>65</xdr:row>
      <xdr:rowOff>210861</xdr:rowOff>
    </xdr:to>
    <xdr:grpSp>
      <xdr:nvGrpSpPr>
        <xdr:cNvPr id="718" name="Agrupar 717">
          <a:extLst>
            <a:ext uri="{FF2B5EF4-FFF2-40B4-BE49-F238E27FC236}">
              <a16:creationId xmlns:a16="http://schemas.microsoft.com/office/drawing/2014/main" id="{BD7B570A-8E72-4714-8248-26BC619B05FA}"/>
            </a:ext>
          </a:extLst>
        </xdr:cNvPr>
        <xdr:cNvGrpSpPr/>
      </xdr:nvGrpSpPr>
      <xdr:grpSpPr>
        <a:xfrm>
          <a:off x="6379010" y="14551175"/>
          <a:ext cx="182763" cy="224496"/>
          <a:chOff x="6572251" y="7468545"/>
          <a:chExt cx="223837" cy="280178"/>
        </a:xfrm>
      </xdr:grpSpPr>
      <xdr:sp macro="" textlink="">
        <xdr:nvSpPr>
          <xdr:cNvPr id="719" name="Elipse 718">
            <a:extLst>
              <a:ext uri="{FF2B5EF4-FFF2-40B4-BE49-F238E27FC236}">
                <a16:creationId xmlns:a16="http://schemas.microsoft.com/office/drawing/2014/main" id="{7B4D0F3B-6F17-C2B4-9FAD-09C79B96193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20" name="CaixaDeTexto 719">
            <a:extLst>
              <a:ext uri="{FF2B5EF4-FFF2-40B4-BE49-F238E27FC236}">
                <a16:creationId xmlns:a16="http://schemas.microsoft.com/office/drawing/2014/main" id="{B32F1ADA-7972-BC4E-7579-C3B3F2A0247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64</xdr:row>
      <xdr:rowOff>216783</xdr:rowOff>
    </xdr:from>
    <xdr:to>
      <xdr:col>7</xdr:col>
      <xdr:colOff>725408</xdr:colOff>
      <xdr:row>66</xdr:row>
      <xdr:rowOff>2564</xdr:rowOff>
    </xdr:to>
    <xdr:grpSp>
      <xdr:nvGrpSpPr>
        <xdr:cNvPr id="721" name="Agrupar 720">
          <a:extLst>
            <a:ext uri="{FF2B5EF4-FFF2-40B4-BE49-F238E27FC236}">
              <a16:creationId xmlns:a16="http://schemas.microsoft.com/office/drawing/2014/main" id="{EAD45377-2436-4518-B399-2D2A08B0B280}"/>
            </a:ext>
          </a:extLst>
        </xdr:cNvPr>
        <xdr:cNvGrpSpPr/>
      </xdr:nvGrpSpPr>
      <xdr:grpSpPr>
        <a:xfrm>
          <a:off x="6899075" y="14559745"/>
          <a:ext cx="182763" cy="229477"/>
          <a:chOff x="6572251" y="7477594"/>
          <a:chExt cx="223837" cy="280178"/>
        </a:xfrm>
      </xdr:grpSpPr>
      <xdr:sp macro="" textlink="">
        <xdr:nvSpPr>
          <xdr:cNvPr id="722" name="Elipse 721">
            <a:extLst>
              <a:ext uri="{FF2B5EF4-FFF2-40B4-BE49-F238E27FC236}">
                <a16:creationId xmlns:a16="http://schemas.microsoft.com/office/drawing/2014/main" id="{59BBC372-F816-F83D-E6FF-3BA57C267FB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23" name="CaixaDeTexto 722">
            <a:extLst>
              <a:ext uri="{FF2B5EF4-FFF2-40B4-BE49-F238E27FC236}">
                <a16:creationId xmlns:a16="http://schemas.microsoft.com/office/drawing/2014/main" id="{D970A0E8-0B62-958B-E076-717ADC70E6C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65</xdr:row>
      <xdr:rowOff>208213</xdr:rowOff>
    </xdr:from>
    <xdr:to>
      <xdr:col>7</xdr:col>
      <xdr:colOff>205343</xdr:colOff>
      <xdr:row>66</xdr:row>
      <xdr:rowOff>210861</xdr:rowOff>
    </xdr:to>
    <xdr:grpSp>
      <xdr:nvGrpSpPr>
        <xdr:cNvPr id="724" name="Agrupar 723">
          <a:extLst>
            <a:ext uri="{FF2B5EF4-FFF2-40B4-BE49-F238E27FC236}">
              <a16:creationId xmlns:a16="http://schemas.microsoft.com/office/drawing/2014/main" id="{12277AE6-DB14-4E92-9DD6-687E0C1F17DE}"/>
            </a:ext>
          </a:extLst>
        </xdr:cNvPr>
        <xdr:cNvGrpSpPr/>
      </xdr:nvGrpSpPr>
      <xdr:grpSpPr>
        <a:xfrm>
          <a:off x="6379010" y="14773023"/>
          <a:ext cx="182763" cy="224496"/>
          <a:chOff x="6572251" y="7468545"/>
          <a:chExt cx="223837" cy="280178"/>
        </a:xfrm>
      </xdr:grpSpPr>
      <xdr:sp macro="" textlink="">
        <xdr:nvSpPr>
          <xdr:cNvPr id="725" name="Elipse 724">
            <a:extLst>
              <a:ext uri="{FF2B5EF4-FFF2-40B4-BE49-F238E27FC236}">
                <a16:creationId xmlns:a16="http://schemas.microsoft.com/office/drawing/2014/main" id="{50DBE209-93B8-0E41-CD54-F3D68D5D809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26" name="CaixaDeTexto 725">
            <a:extLst>
              <a:ext uri="{FF2B5EF4-FFF2-40B4-BE49-F238E27FC236}">
                <a16:creationId xmlns:a16="http://schemas.microsoft.com/office/drawing/2014/main" id="{A01232FD-B937-181D-A0C9-4EF7CB6AF5D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65</xdr:row>
      <xdr:rowOff>216783</xdr:rowOff>
    </xdr:from>
    <xdr:to>
      <xdr:col>7</xdr:col>
      <xdr:colOff>725408</xdr:colOff>
      <xdr:row>67</xdr:row>
      <xdr:rowOff>2564</xdr:rowOff>
    </xdr:to>
    <xdr:grpSp>
      <xdr:nvGrpSpPr>
        <xdr:cNvPr id="727" name="Agrupar 726">
          <a:extLst>
            <a:ext uri="{FF2B5EF4-FFF2-40B4-BE49-F238E27FC236}">
              <a16:creationId xmlns:a16="http://schemas.microsoft.com/office/drawing/2014/main" id="{916AD5A5-8A27-4F43-85CA-EA93448664A2}"/>
            </a:ext>
          </a:extLst>
        </xdr:cNvPr>
        <xdr:cNvGrpSpPr/>
      </xdr:nvGrpSpPr>
      <xdr:grpSpPr>
        <a:xfrm>
          <a:off x="6899075" y="14781593"/>
          <a:ext cx="182763" cy="229477"/>
          <a:chOff x="6572251" y="7477594"/>
          <a:chExt cx="223837" cy="280178"/>
        </a:xfrm>
      </xdr:grpSpPr>
      <xdr:sp macro="" textlink="">
        <xdr:nvSpPr>
          <xdr:cNvPr id="728" name="Elipse 727">
            <a:extLst>
              <a:ext uri="{FF2B5EF4-FFF2-40B4-BE49-F238E27FC236}">
                <a16:creationId xmlns:a16="http://schemas.microsoft.com/office/drawing/2014/main" id="{A64ED38A-32C4-C4E8-33F6-FBF2EDAF261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29" name="CaixaDeTexto 728">
            <a:extLst>
              <a:ext uri="{FF2B5EF4-FFF2-40B4-BE49-F238E27FC236}">
                <a16:creationId xmlns:a16="http://schemas.microsoft.com/office/drawing/2014/main" id="{5B38EE07-090C-3043-D35C-CC45CE34B52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66</xdr:row>
      <xdr:rowOff>208213</xdr:rowOff>
    </xdr:from>
    <xdr:to>
      <xdr:col>7</xdr:col>
      <xdr:colOff>205343</xdr:colOff>
      <xdr:row>67</xdr:row>
      <xdr:rowOff>210861</xdr:rowOff>
    </xdr:to>
    <xdr:grpSp>
      <xdr:nvGrpSpPr>
        <xdr:cNvPr id="730" name="Agrupar 729">
          <a:extLst>
            <a:ext uri="{FF2B5EF4-FFF2-40B4-BE49-F238E27FC236}">
              <a16:creationId xmlns:a16="http://schemas.microsoft.com/office/drawing/2014/main" id="{B9DE3A18-6E9F-4AC1-8B04-1727C161A92D}"/>
            </a:ext>
          </a:extLst>
        </xdr:cNvPr>
        <xdr:cNvGrpSpPr/>
      </xdr:nvGrpSpPr>
      <xdr:grpSpPr>
        <a:xfrm>
          <a:off x="6379010" y="14994871"/>
          <a:ext cx="182763" cy="224496"/>
          <a:chOff x="6572251" y="7468545"/>
          <a:chExt cx="223837" cy="280178"/>
        </a:xfrm>
      </xdr:grpSpPr>
      <xdr:sp macro="" textlink="">
        <xdr:nvSpPr>
          <xdr:cNvPr id="731" name="Elipse 730">
            <a:extLst>
              <a:ext uri="{FF2B5EF4-FFF2-40B4-BE49-F238E27FC236}">
                <a16:creationId xmlns:a16="http://schemas.microsoft.com/office/drawing/2014/main" id="{89441722-2FD7-4DCD-99AB-D7058021DB4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32" name="CaixaDeTexto 731">
            <a:extLst>
              <a:ext uri="{FF2B5EF4-FFF2-40B4-BE49-F238E27FC236}">
                <a16:creationId xmlns:a16="http://schemas.microsoft.com/office/drawing/2014/main" id="{D8A8E1AF-294B-8780-C98D-5AD9A3418BC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66</xdr:row>
      <xdr:rowOff>216783</xdr:rowOff>
    </xdr:from>
    <xdr:to>
      <xdr:col>7</xdr:col>
      <xdr:colOff>725408</xdr:colOff>
      <xdr:row>68</xdr:row>
      <xdr:rowOff>2563</xdr:rowOff>
    </xdr:to>
    <xdr:grpSp>
      <xdr:nvGrpSpPr>
        <xdr:cNvPr id="733" name="Agrupar 732">
          <a:extLst>
            <a:ext uri="{FF2B5EF4-FFF2-40B4-BE49-F238E27FC236}">
              <a16:creationId xmlns:a16="http://schemas.microsoft.com/office/drawing/2014/main" id="{AFD4EA8A-8D69-404D-BC8D-CFB39343AC78}"/>
            </a:ext>
          </a:extLst>
        </xdr:cNvPr>
        <xdr:cNvGrpSpPr/>
      </xdr:nvGrpSpPr>
      <xdr:grpSpPr>
        <a:xfrm>
          <a:off x="6899075" y="15003441"/>
          <a:ext cx="182763" cy="229476"/>
          <a:chOff x="6572251" y="7477594"/>
          <a:chExt cx="223837" cy="280178"/>
        </a:xfrm>
      </xdr:grpSpPr>
      <xdr:sp macro="" textlink="">
        <xdr:nvSpPr>
          <xdr:cNvPr id="734" name="Elipse 733">
            <a:extLst>
              <a:ext uri="{FF2B5EF4-FFF2-40B4-BE49-F238E27FC236}">
                <a16:creationId xmlns:a16="http://schemas.microsoft.com/office/drawing/2014/main" id="{C91D1737-FDFB-AD51-6269-7F3922D73ED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35" name="CaixaDeTexto 734">
            <a:extLst>
              <a:ext uri="{FF2B5EF4-FFF2-40B4-BE49-F238E27FC236}">
                <a16:creationId xmlns:a16="http://schemas.microsoft.com/office/drawing/2014/main" id="{C5115D4D-8988-CDD1-4C05-257B53EDFD28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67</xdr:row>
      <xdr:rowOff>208213</xdr:rowOff>
    </xdr:from>
    <xdr:to>
      <xdr:col>7</xdr:col>
      <xdr:colOff>205343</xdr:colOff>
      <xdr:row>68</xdr:row>
      <xdr:rowOff>210861</xdr:rowOff>
    </xdr:to>
    <xdr:grpSp>
      <xdr:nvGrpSpPr>
        <xdr:cNvPr id="736" name="Agrupar 735">
          <a:extLst>
            <a:ext uri="{FF2B5EF4-FFF2-40B4-BE49-F238E27FC236}">
              <a16:creationId xmlns:a16="http://schemas.microsoft.com/office/drawing/2014/main" id="{755AD536-68F2-4AC8-B0D4-8FD8B5123EB7}"/>
            </a:ext>
          </a:extLst>
        </xdr:cNvPr>
        <xdr:cNvGrpSpPr/>
      </xdr:nvGrpSpPr>
      <xdr:grpSpPr>
        <a:xfrm>
          <a:off x="6379010" y="15216719"/>
          <a:ext cx="182763" cy="224496"/>
          <a:chOff x="6572251" y="7468545"/>
          <a:chExt cx="223837" cy="280178"/>
        </a:xfrm>
      </xdr:grpSpPr>
      <xdr:sp macro="" textlink="">
        <xdr:nvSpPr>
          <xdr:cNvPr id="737" name="Elipse 736">
            <a:extLst>
              <a:ext uri="{FF2B5EF4-FFF2-40B4-BE49-F238E27FC236}">
                <a16:creationId xmlns:a16="http://schemas.microsoft.com/office/drawing/2014/main" id="{39F2E6A2-389B-A22B-54D5-44A2BAF0888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38" name="CaixaDeTexto 737">
            <a:extLst>
              <a:ext uri="{FF2B5EF4-FFF2-40B4-BE49-F238E27FC236}">
                <a16:creationId xmlns:a16="http://schemas.microsoft.com/office/drawing/2014/main" id="{609BE524-8DF5-F3EF-A66F-9542AC594F2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67</xdr:row>
      <xdr:rowOff>216783</xdr:rowOff>
    </xdr:from>
    <xdr:to>
      <xdr:col>7</xdr:col>
      <xdr:colOff>725408</xdr:colOff>
      <xdr:row>69</xdr:row>
      <xdr:rowOff>2564</xdr:rowOff>
    </xdr:to>
    <xdr:grpSp>
      <xdr:nvGrpSpPr>
        <xdr:cNvPr id="739" name="Agrupar 738">
          <a:extLst>
            <a:ext uri="{FF2B5EF4-FFF2-40B4-BE49-F238E27FC236}">
              <a16:creationId xmlns:a16="http://schemas.microsoft.com/office/drawing/2014/main" id="{9CF0EC29-A657-4888-80D3-96914BECA345}"/>
            </a:ext>
          </a:extLst>
        </xdr:cNvPr>
        <xdr:cNvGrpSpPr/>
      </xdr:nvGrpSpPr>
      <xdr:grpSpPr>
        <a:xfrm>
          <a:off x="6899075" y="15225289"/>
          <a:ext cx="182763" cy="229478"/>
          <a:chOff x="6572251" y="7477594"/>
          <a:chExt cx="223837" cy="280178"/>
        </a:xfrm>
      </xdr:grpSpPr>
      <xdr:sp macro="" textlink="">
        <xdr:nvSpPr>
          <xdr:cNvPr id="740" name="Elipse 739">
            <a:extLst>
              <a:ext uri="{FF2B5EF4-FFF2-40B4-BE49-F238E27FC236}">
                <a16:creationId xmlns:a16="http://schemas.microsoft.com/office/drawing/2014/main" id="{EC9F6662-6403-3029-8002-EF2F8413AF4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41" name="CaixaDeTexto 740">
            <a:extLst>
              <a:ext uri="{FF2B5EF4-FFF2-40B4-BE49-F238E27FC236}">
                <a16:creationId xmlns:a16="http://schemas.microsoft.com/office/drawing/2014/main" id="{7E7FAE3E-7707-C39F-5831-4A939B146D2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68</xdr:row>
      <xdr:rowOff>208213</xdr:rowOff>
    </xdr:from>
    <xdr:to>
      <xdr:col>7</xdr:col>
      <xdr:colOff>205343</xdr:colOff>
      <xdr:row>69</xdr:row>
      <xdr:rowOff>210861</xdr:rowOff>
    </xdr:to>
    <xdr:grpSp>
      <xdr:nvGrpSpPr>
        <xdr:cNvPr id="742" name="Agrupar 741">
          <a:extLst>
            <a:ext uri="{FF2B5EF4-FFF2-40B4-BE49-F238E27FC236}">
              <a16:creationId xmlns:a16="http://schemas.microsoft.com/office/drawing/2014/main" id="{BA605F73-24E4-45AB-B18A-7E4350FC499B}"/>
            </a:ext>
          </a:extLst>
        </xdr:cNvPr>
        <xdr:cNvGrpSpPr/>
      </xdr:nvGrpSpPr>
      <xdr:grpSpPr>
        <a:xfrm>
          <a:off x="6379010" y="15438567"/>
          <a:ext cx="182763" cy="224497"/>
          <a:chOff x="6572251" y="7468545"/>
          <a:chExt cx="223837" cy="280178"/>
        </a:xfrm>
      </xdr:grpSpPr>
      <xdr:sp macro="" textlink="">
        <xdr:nvSpPr>
          <xdr:cNvPr id="743" name="Elipse 742">
            <a:extLst>
              <a:ext uri="{FF2B5EF4-FFF2-40B4-BE49-F238E27FC236}">
                <a16:creationId xmlns:a16="http://schemas.microsoft.com/office/drawing/2014/main" id="{3512B288-7534-FBAD-C72D-96E325D3A1E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44" name="CaixaDeTexto 743">
            <a:extLst>
              <a:ext uri="{FF2B5EF4-FFF2-40B4-BE49-F238E27FC236}">
                <a16:creationId xmlns:a16="http://schemas.microsoft.com/office/drawing/2014/main" id="{3588E045-EEBC-F15A-E41D-C8862A0B88A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68</xdr:row>
      <xdr:rowOff>216783</xdr:rowOff>
    </xdr:from>
    <xdr:to>
      <xdr:col>7</xdr:col>
      <xdr:colOff>725408</xdr:colOff>
      <xdr:row>70</xdr:row>
      <xdr:rowOff>2563</xdr:rowOff>
    </xdr:to>
    <xdr:grpSp>
      <xdr:nvGrpSpPr>
        <xdr:cNvPr id="745" name="Agrupar 744">
          <a:extLst>
            <a:ext uri="{FF2B5EF4-FFF2-40B4-BE49-F238E27FC236}">
              <a16:creationId xmlns:a16="http://schemas.microsoft.com/office/drawing/2014/main" id="{F2795289-07EB-4C8B-8E91-32781F01980C}"/>
            </a:ext>
          </a:extLst>
        </xdr:cNvPr>
        <xdr:cNvGrpSpPr/>
      </xdr:nvGrpSpPr>
      <xdr:grpSpPr>
        <a:xfrm>
          <a:off x="6899075" y="15447137"/>
          <a:ext cx="182763" cy="229477"/>
          <a:chOff x="6572251" y="7477594"/>
          <a:chExt cx="223837" cy="280178"/>
        </a:xfrm>
      </xdr:grpSpPr>
      <xdr:sp macro="" textlink="">
        <xdr:nvSpPr>
          <xdr:cNvPr id="746" name="Elipse 745">
            <a:extLst>
              <a:ext uri="{FF2B5EF4-FFF2-40B4-BE49-F238E27FC236}">
                <a16:creationId xmlns:a16="http://schemas.microsoft.com/office/drawing/2014/main" id="{E3EF3C0F-94C8-27AC-761F-0DE987A1764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47" name="CaixaDeTexto 746">
            <a:extLst>
              <a:ext uri="{FF2B5EF4-FFF2-40B4-BE49-F238E27FC236}">
                <a16:creationId xmlns:a16="http://schemas.microsoft.com/office/drawing/2014/main" id="{04CFBCBB-7CE0-C1AF-84AA-EA5E58E6EEC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69</xdr:row>
      <xdr:rowOff>208213</xdr:rowOff>
    </xdr:from>
    <xdr:to>
      <xdr:col>7</xdr:col>
      <xdr:colOff>205343</xdr:colOff>
      <xdr:row>70</xdr:row>
      <xdr:rowOff>210861</xdr:rowOff>
    </xdr:to>
    <xdr:grpSp>
      <xdr:nvGrpSpPr>
        <xdr:cNvPr id="748" name="Agrupar 747">
          <a:extLst>
            <a:ext uri="{FF2B5EF4-FFF2-40B4-BE49-F238E27FC236}">
              <a16:creationId xmlns:a16="http://schemas.microsoft.com/office/drawing/2014/main" id="{5405646C-F17C-4260-8AD4-7064AFA4784C}"/>
            </a:ext>
          </a:extLst>
        </xdr:cNvPr>
        <xdr:cNvGrpSpPr/>
      </xdr:nvGrpSpPr>
      <xdr:grpSpPr>
        <a:xfrm>
          <a:off x="6379010" y="15660416"/>
          <a:ext cx="182763" cy="224496"/>
          <a:chOff x="6572251" y="7468545"/>
          <a:chExt cx="223837" cy="280178"/>
        </a:xfrm>
      </xdr:grpSpPr>
      <xdr:sp macro="" textlink="">
        <xdr:nvSpPr>
          <xdr:cNvPr id="749" name="Elipse 748">
            <a:extLst>
              <a:ext uri="{FF2B5EF4-FFF2-40B4-BE49-F238E27FC236}">
                <a16:creationId xmlns:a16="http://schemas.microsoft.com/office/drawing/2014/main" id="{790CC4B7-4900-D82E-A5C2-81D4954A467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50" name="CaixaDeTexto 749">
            <a:extLst>
              <a:ext uri="{FF2B5EF4-FFF2-40B4-BE49-F238E27FC236}">
                <a16:creationId xmlns:a16="http://schemas.microsoft.com/office/drawing/2014/main" id="{D7CC289B-96E0-BDF8-5E7F-5A25675D487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69</xdr:row>
      <xdr:rowOff>216783</xdr:rowOff>
    </xdr:from>
    <xdr:to>
      <xdr:col>7</xdr:col>
      <xdr:colOff>725408</xdr:colOff>
      <xdr:row>71</xdr:row>
      <xdr:rowOff>2564</xdr:rowOff>
    </xdr:to>
    <xdr:grpSp>
      <xdr:nvGrpSpPr>
        <xdr:cNvPr id="751" name="Agrupar 750">
          <a:extLst>
            <a:ext uri="{FF2B5EF4-FFF2-40B4-BE49-F238E27FC236}">
              <a16:creationId xmlns:a16="http://schemas.microsoft.com/office/drawing/2014/main" id="{BAAE16E5-DFF0-48F9-BD39-0A6467CEA99A}"/>
            </a:ext>
          </a:extLst>
        </xdr:cNvPr>
        <xdr:cNvGrpSpPr/>
      </xdr:nvGrpSpPr>
      <xdr:grpSpPr>
        <a:xfrm>
          <a:off x="6899075" y="15668986"/>
          <a:ext cx="182763" cy="229477"/>
          <a:chOff x="6572251" y="7477594"/>
          <a:chExt cx="223837" cy="280178"/>
        </a:xfrm>
      </xdr:grpSpPr>
      <xdr:sp macro="" textlink="">
        <xdr:nvSpPr>
          <xdr:cNvPr id="752" name="Elipse 751">
            <a:extLst>
              <a:ext uri="{FF2B5EF4-FFF2-40B4-BE49-F238E27FC236}">
                <a16:creationId xmlns:a16="http://schemas.microsoft.com/office/drawing/2014/main" id="{99448481-15C4-DA23-C763-8DB5AEBDCBF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53" name="CaixaDeTexto 752">
            <a:extLst>
              <a:ext uri="{FF2B5EF4-FFF2-40B4-BE49-F238E27FC236}">
                <a16:creationId xmlns:a16="http://schemas.microsoft.com/office/drawing/2014/main" id="{D8526F1C-F8A0-0413-6169-3C580D01A98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70</xdr:row>
      <xdr:rowOff>208213</xdr:rowOff>
    </xdr:from>
    <xdr:to>
      <xdr:col>7</xdr:col>
      <xdr:colOff>205343</xdr:colOff>
      <xdr:row>71</xdr:row>
      <xdr:rowOff>210861</xdr:rowOff>
    </xdr:to>
    <xdr:grpSp>
      <xdr:nvGrpSpPr>
        <xdr:cNvPr id="754" name="Agrupar 753">
          <a:extLst>
            <a:ext uri="{FF2B5EF4-FFF2-40B4-BE49-F238E27FC236}">
              <a16:creationId xmlns:a16="http://schemas.microsoft.com/office/drawing/2014/main" id="{96CAA1A2-72F8-4AE9-AA9F-B91A76C23A15}"/>
            </a:ext>
          </a:extLst>
        </xdr:cNvPr>
        <xdr:cNvGrpSpPr/>
      </xdr:nvGrpSpPr>
      <xdr:grpSpPr>
        <a:xfrm>
          <a:off x="6379010" y="15882264"/>
          <a:ext cx="182763" cy="224496"/>
          <a:chOff x="6572251" y="7468545"/>
          <a:chExt cx="223837" cy="280178"/>
        </a:xfrm>
      </xdr:grpSpPr>
      <xdr:sp macro="" textlink="">
        <xdr:nvSpPr>
          <xdr:cNvPr id="755" name="Elipse 754">
            <a:extLst>
              <a:ext uri="{FF2B5EF4-FFF2-40B4-BE49-F238E27FC236}">
                <a16:creationId xmlns:a16="http://schemas.microsoft.com/office/drawing/2014/main" id="{D98C625C-CCD9-37B1-5C66-8BD324C6334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56" name="CaixaDeTexto 755">
            <a:extLst>
              <a:ext uri="{FF2B5EF4-FFF2-40B4-BE49-F238E27FC236}">
                <a16:creationId xmlns:a16="http://schemas.microsoft.com/office/drawing/2014/main" id="{F10CA8E4-E5CD-93A8-5D52-04090374225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70</xdr:row>
      <xdr:rowOff>216783</xdr:rowOff>
    </xdr:from>
    <xdr:to>
      <xdr:col>7</xdr:col>
      <xdr:colOff>725408</xdr:colOff>
      <xdr:row>72</xdr:row>
      <xdr:rowOff>2564</xdr:rowOff>
    </xdr:to>
    <xdr:grpSp>
      <xdr:nvGrpSpPr>
        <xdr:cNvPr id="757" name="Agrupar 756">
          <a:extLst>
            <a:ext uri="{FF2B5EF4-FFF2-40B4-BE49-F238E27FC236}">
              <a16:creationId xmlns:a16="http://schemas.microsoft.com/office/drawing/2014/main" id="{9E522EC3-CA9C-4F91-AF40-A0B2C821E460}"/>
            </a:ext>
          </a:extLst>
        </xdr:cNvPr>
        <xdr:cNvGrpSpPr/>
      </xdr:nvGrpSpPr>
      <xdr:grpSpPr>
        <a:xfrm>
          <a:off x="6899075" y="15890834"/>
          <a:ext cx="182763" cy="229477"/>
          <a:chOff x="6572251" y="7477594"/>
          <a:chExt cx="223837" cy="280178"/>
        </a:xfrm>
      </xdr:grpSpPr>
      <xdr:sp macro="" textlink="">
        <xdr:nvSpPr>
          <xdr:cNvPr id="758" name="Elipse 757">
            <a:extLst>
              <a:ext uri="{FF2B5EF4-FFF2-40B4-BE49-F238E27FC236}">
                <a16:creationId xmlns:a16="http://schemas.microsoft.com/office/drawing/2014/main" id="{68258ADE-1AE1-6C7C-A6A9-54ECFA5B384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59" name="CaixaDeTexto 758">
            <a:extLst>
              <a:ext uri="{FF2B5EF4-FFF2-40B4-BE49-F238E27FC236}">
                <a16:creationId xmlns:a16="http://schemas.microsoft.com/office/drawing/2014/main" id="{3D81B20D-9566-4BF8-DED6-76A51EB1D07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71</xdr:row>
      <xdr:rowOff>208213</xdr:rowOff>
    </xdr:from>
    <xdr:to>
      <xdr:col>7</xdr:col>
      <xdr:colOff>205343</xdr:colOff>
      <xdr:row>72</xdr:row>
      <xdr:rowOff>210861</xdr:rowOff>
    </xdr:to>
    <xdr:grpSp>
      <xdr:nvGrpSpPr>
        <xdr:cNvPr id="760" name="Agrupar 759">
          <a:extLst>
            <a:ext uri="{FF2B5EF4-FFF2-40B4-BE49-F238E27FC236}">
              <a16:creationId xmlns:a16="http://schemas.microsoft.com/office/drawing/2014/main" id="{207DFFEC-89C4-4BBE-A7E8-91266A05AD67}"/>
            </a:ext>
          </a:extLst>
        </xdr:cNvPr>
        <xdr:cNvGrpSpPr/>
      </xdr:nvGrpSpPr>
      <xdr:grpSpPr>
        <a:xfrm>
          <a:off x="6379010" y="16104112"/>
          <a:ext cx="182763" cy="224496"/>
          <a:chOff x="6572251" y="7468545"/>
          <a:chExt cx="223837" cy="280178"/>
        </a:xfrm>
      </xdr:grpSpPr>
      <xdr:sp macro="" textlink="">
        <xdr:nvSpPr>
          <xdr:cNvPr id="761" name="Elipse 760">
            <a:extLst>
              <a:ext uri="{FF2B5EF4-FFF2-40B4-BE49-F238E27FC236}">
                <a16:creationId xmlns:a16="http://schemas.microsoft.com/office/drawing/2014/main" id="{3471D81F-638A-9135-2267-9E11890DA0E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62" name="CaixaDeTexto 761">
            <a:extLst>
              <a:ext uri="{FF2B5EF4-FFF2-40B4-BE49-F238E27FC236}">
                <a16:creationId xmlns:a16="http://schemas.microsoft.com/office/drawing/2014/main" id="{F3BAF750-5EDB-D177-DF99-45A09FB868D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71</xdr:row>
      <xdr:rowOff>216783</xdr:rowOff>
    </xdr:from>
    <xdr:to>
      <xdr:col>7</xdr:col>
      <xdr:colOff>725408</xdr:colOff>
      <xdr:row>73</xdr:row>
      <xdr:rowOff>2563</xdr:rowOff>
    </xdr:to>
    <xdr:grpSp>
      <xdr:nvGrpSpPr>
        <xdr:cNvPr id="763" name="Agrupar 762">
          <a:extLst>
            <a:ext uri="{FF2B5EF4-FFF2-40B4-BE49-F238E27FC236}">
              <a16:creationId xmlns:a16="http://schemas.microsoft.com/office/drawing/2014/main" id="{8FC2C74B-8A7A-4D1C-BDE4-7C1843D69BDD}"/>
            </a:ext>
          </a:extLst>
        </xdr:cNvPr>
        <xdr:cNvGrpSpPr/>
      </xdr:nvGrpSpPr>
      <xdr:grpSpPr>
        <a:xfrm>
          <a:off x="6899075" y="16112682"/>
          <a:ext cx="182763" cy="229476"/>
          <a:chOff x="6572251" y="7477594"/>
          <a:chExt cx="223837" cy="280178"/>
        </a:xfrm>
      </xdr:grpSpPr>
      <xdr:sp macro="" textlink="">
        <xdr:nvSpPr>
          <xdr:cNvPr id="764" name="Elipse 763">
            <a:extLst>
              <a:ext uri="{FF2B5EF4-FFF2-40B4-BE49-F238E27FC236}">
                <a16:creationId xmlns:a16="http://schemas.microsoft.com/office/drawing/2014/main" id="{F15775C3-CC06-6FF0-6F63-674AE0E68C2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65" name="CaixaDeTexto 764">
            <a:extLst>
              <a:ext uri="{FF2B5EF4-FFF2-40B4-BE49-F238E27FC236}">
                <a16:creationId xmlns:a16="http://schemas.microsoft.com/office/drawing/2014/main" id="{DDF4D874-F17F-CAD2-A771-1DACE41E819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 editAs="oneCell">
    <xdr:from>
      <xdr:col>12</xdr:col>
      <xdr:colOff>2024213</xdr:colOff>
      <xdr:row>29</xdr:row>
      <xdr:rowOff>99298</xdr:rowOff>
    </xdr:from>
    <xdr:to>
      <xdr:col>12</xdr:col>
      <xdr:colOff>5506048</xdr:colOff>
      <xdr:row>40</xdr:row>
      <xdr:rowOff>186900</xdr:rowOff>
    </xdr:to>
    <xdr:pic>
      <xdr:nvPicPr>
        <xdr:cNvPr id="766" name="Imagem 765">
          <a:extLst>
            <a:ext uri="{FF2B5EF4-FFF2-40B4-BE49-F238E27FC236}">
              <a16:creationId xmlns:a16="http://schemas.microsoft.com/office/drawing/2014/main" id="{25DD9AC2-FD1F-B41B-DDA1-42658A2611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270" y="6587184"/>
          <a:ext cx="3481835" cy="24824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22580</xdr:colOff>
      <xdr:row>72</xdr:row>
      <xdr:rowOff>208213</xdr:rowOff>
    </xdr:from>
    <xdr:to>
      <xdr:col>7</xdr:col>
      <xdr:colOff>205343</xdr:colOff>
      <xdr:row>73</xdr:row>
      <xdr:rowOff>210861</xdr:rowOff>
    </xdr:to>
    <xdr:grpSp>
      <xdr:nvGrpSpPr>
        <xdr:cNvPr id="917" name="Agrupar 916">
          <a:extLst>
            <a:ext uri="{FF2B5EF4-FFF2-40B4-BE49-F238E27FC236}">
              <a16:creationId xmlns:a16="http://schemas.microsoft.com/office/drawing/2014/main" id="{E99D7B10-6D43-490B-A110-83F6B65B0EC5}"/>
            </a:ext>
          </a:extLst>
        </xdr:cNvPr>
        <xdr:cNvGrpSpPr/>
      </xdr:nvGrpSpPr>
      <xdr:grpSpPr>
        <a:xfrm>
          <a:off x="6379010" y="16325960"/>
          <a:ext cx="182763" cy="224496"/>
          <a:chOff x="6572251" y="7468545"/>
          <a:chExt cx="223837" cy="280178"/>
        </a:xfrm>
      </xdr:grpSpPr>
      <xdr:sp macro="" textlink="">
        <xdr:nvSpPr>
          <xdr:cNvPr id="918" name="Elipse 917">
            <a:extLst>
              <a:ext uri="{FF2B5EF4-FFF2-40B4-BE49-F238E27FC236}">
                <a16:creationId xmlns:a16="http://schemas.microsoft.com/office/drawing/2014/main" id="{132AF2AD-719B-7282-9EA2-0041046E1BB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19" name="CaixaDeTexto 918">
            <a:extLst>
              <a:ext uri="{FF2B5EF4-FFF2-40B4-BE49-F238E27FC236}">
                <a16:creationId xmlns:a16="http://schemas.microsoft.com/office/drawing/2014/main" id="{C5283C21-231D-3816-FB01-388F2E380DC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72</xdr:row>
      <xdr:rowOff>216783</xdr:rowOff>
    </xdr:from>
    <xdr:to>
      <xdr:col>7</xdr:col>
      <xdr:colOff>725408</xdr:colOff>
      <xdr:row>73</xdr:row>
      <xdr:rowOff>220278</xdr:rowOff>
    </xdr:to>
    <xdr:grpSp>
      <xdr:nvGrpSpPr>
        <xdr:cNvPr id="920" name="Agrupar 919">
          <a:extLst>
            <a:ext uri="{FF2B5EF4-FFF2-40B4-BE49-F238E27FC236}">
              <a16:creationId xmlns:a16="http://schemas.microsoft.com/office/drawing/2014/main" id="{2B9C557E-8EBA-4EB2-B702-4E960D5CCEA3}"/>
            </a:ext>
          </a:extLst>
        </xdr:cNvPr>
        <xdr:cNvGrpSpPr/>
      </xdr:nvGrpSpPr>
      <xdr:grpSpPr>
        <a:xfrm>
          <a:off x="6899075" y="16334530"/>
          <a:ext cx="182763" cy="225343"/>
          <a:chOff x="6572251" y="7477594"/>
          <a:chExt cx="223837" cy="280178"/>
        </a:xfrm>
      </xdr:grpSpPr>
      <xdr:sp macro="" textlink="">
        <xdr:nvSpPr>
          <xdr:cNvPr id="921" name="Elipse 920">
            <a:extLst>
              <a:ext uri="{FF2B5EF4-FFF2-40B4-BE49-F238E27FC236}">
                <a16:creationId xmlns:a16="http://schemas.microsoft.com/office/drawing/2014/main" id="{AE8A728F-04CE-C000-6EF0-18BA94C94F4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22" name="CaixaDeTexto 921">
            <a:extLst>
              <a:ext uri="{FF2B5EF4-FFF2-40B4-BE49-F238E27FC236}">
                <a16:creationId xmlns:a16="http://schemas.microsoft.com/office/drawing/2014/main" id="{C922BE8A-10FB-4453-FC8B-C5559DA71E08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73</xdr:row>
      <xdr:rowOff>208213</xdr:rowOff>
    </xdr:from>
    <xdr:to>
      <xdr:col>7</xdr:col>
      <xdr:colOff>205343</xdr:colOff>
      <xdr:row>74</xdr:row>
      <xdr:rowOff>210861</xdr:rowOff>
    </xdr:to>
    <xdr:grpSp>
      <xdr:nvGrpSpPr>
        <xdr:cNvPr id="923" name="Agrupar 922">
          <a:extLst>
            <a:ext uri="{FF2B5EF4-FFF2-40B4-BE49-F238E27FC236}">
              <a16:creationId xmlns:a16="http://schemas.microsoft.com/office/drawing/2014/main" id="{C5912856-922E-45D1-9A1F-9862F2B03995}"/>
            </a:ext>
          </a:extLst>
        </xdr:cNvPr>
        <xdr:cNvGrpSpPr/>
      </xdr:nvGrpSpPr>
      <xdr:grpSpPr>
        <a:xfrm>
          <a:off x="6379010" y="16547808"/>
          <a:ext cx="182763" cy="224496"/>
          <a:chOff x="6572251" y="7468545"/>
          <a:chExt cx="223837" cy="280178"/>
        </a:xfrm>
      </xdr:grpSpPr>
      <xdr:sp macro="" textlink="">
        <xdr:nvSpPr>
          <xdr:cNvPr id="924" name="Elipse 923">
            <a:extLst>
              <a:ext uri="{FF2B5EF4-FFF2-40B4-BE49-F238E27FC236}">
                <a16:creationId xmlns:a16="http://schemas.microsoft.com/office/drawing/2014/main" id="{8F9D71B0-1B4A-F2FA-0C90-A3B5B9431FB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25" name="CaixaDeTexto 924">
            <a:extLst>
              <a:ext uri="{FF2B5EF4-FFF2-40B4-BE49-F238E27FC236}">
                <a16:creationId xmlns:a16="http://schemas.microsoft.com/office/drawing/2014/main" id="{6FB701FD-B965-8F68-EF53-4F53746FD6E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73</xdr:row>
      <xdr:rowOff>216783</xdr:rowOff>
    </xdr:from>
    <xdr:to>
      <xdr:col>7</xdr:col>
      <xdr:colOff>725408</xdr:colOff>
      <xdr:row>74</xdr:row>
      <xdr:rowOff>220278</xdr:rowOff>
    </xdr:to>
    <xdr:grpSp>
      <xdr:nvGrpSpPr>
        <xdr:cNvPr id="926" name="Agrupar 925">
          <a:extLst>
            <a:ext uri="{FF2B5EF4-FFF2-40B4-BE49-F238E27FC236}">
              <a16:creationId xmlns:a16="http://schemas.microsoft.com/office/drawing/2014/main" id="{085AEF3A-CD77-4DFA-B41F-7EF42E803B41}"/>
            </a:ext>
          </a:extLst>
        </xdr:cNvPr>
        <xdr:cNvGrpSpPr/>
      </xdr:nvGrpSpPr>
      <xdr:grpSpPr>
        <a:xfrm>
          <a:off x="6899075" y="16556378"/>
          <a:ext cx="182763" cy="225343"/>
          <a:chOff x="6572251" y="7477594"/>
          <a:chExt cx="223837" cy="280178"/>
        </a:xfrm>
      </xdr:grpSpPr>
      <xdr:sp macro="" textlink="">
        <xdr:nvSpPr>
          <xdr:cNvPr id="927" name="Elipse 926">
            <a:extLst>
              <a:ext uri="{FF2B5EF4-FFF2-40B4-BE49-F238E27FC236}">
                <a16:creationId xmlns:a16="http://schemas.microsoft.com/office/drawing/2014/main" id="{3E19075C-07B3-3C19-1734-86A2EF98273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28" name="CaixaDeTexto 927">
            <a:extLst>
              <a:ext uri="{FF2B5EF4-FFF2-40B4-BE49-F238E27FC236}">
                <a16:creationId xmlns:a16="http://schemas.microsoft.com/office/drawing/2014/main" id="{F07E7E83-8B25-A041-9A8B-2BD2B5546A6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76</xdr:row>
      <xdr:rowOff>208213</xdr:rowOff>
    </xdr:from>
    <xdr:to>
      <xdr:col>7</xdr:col>
      <xdr:colOff>205343</xdr:colOff>
      <xdr:row>77</xdr:row>
      <xdr:rowOff>210861</xdr:rowOff>
    </xdr:to>
    <xdr:grpSp>
      <xdr:nvGrpSpPr>
        <xdr:cNvPr id="929" name="Agrupar 928">
          <a:extLst>
            <a:ext uri="{FF2B5EF4-FFF2-40B4-BE49-F238E27FC236}">
              <a16:creationId xmlns:a16="http://schemas.microsoft.com/office/drawing/2014/main" id="{4CFACF3C-A697-4873-9D9B-F385A9B24B69}"/>
            </a:ext>
          </a:extLst>
        </xdr:cNvPr>
        <xdr:cNvGrpSpPr/>
      </xdr:nvGrpSpPr>
      <xdr:grpSpPr>
        <a:xfrm>
          <a:off x="6379010" y="17213352"/>
          <a:ext cx="182763" cy="224496"/>
          <a:chOff x="6572251" y="7468545"/>
          <a:chExt cx="223837" cy="280178"/>
        </a:xfrm>
      </xdr:grpSpPr>
      <xdr:sp macro="" textlink="">
        <xdr:nvSpPr>
          <xdr:cNvPr id="930" name="Elipse 929">
            <a:extLst>
              <a:ext uri="{FF2B5EF4-FFF2-40B4-BE49-F238E27FC236}">
                <a16:creationId xmlns:a16="http://schemas.microsoft.com/office/drawing/2014/main" id="{02ABF2B8-12D9-7036-86C6-1058FA8BC0C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31" name="CaixaDeTexto 930">
            <a:extLst>
              <a:ext uri="{FF2B5EF4-FFF2-40B4-BE49-F238E27FC236}">
                <a16:creationId xmlns:a16="http://schemas.microsoft.com/office/drawing/2014/main" id="{B5AA077F-91EC-A201-5583-22E37C34C0C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76</xdr:row>
      <xdr:rowOff>216783</xdr:rowOff>
    </xdr:from>
    <xdr:to>
      <xdr:col>7</xdr:col>
      <xdr:colOff>725408</xdr:colOff>
      <xdr:row>77</xdr:row>
      <xdr:rowOff>220278</xdr:rowOff>
    </xdr:to>
    <xdr:grpSp>
      <xdr:nvGrpSpPr>
        <xdr:cNvPr id="932" name="Agrupar 931">
          <a:extLst>
            <a:ext uri="{FF2B5EF4-FFF2-40B4-BE49-F238E27FC236}">
              <a16:creationId xmlns:a16="http://schemas.microsoft.com/office/drawing/2014/main" id="{1D3811D3-A764-4347-B599-C4EEA7D2FFF4}"/>
            </a:ext>
          </a:extLst>
        </xdr:cNvPr>
        <xdr:cNvGrpSpPr/>
      </xdr:nvGrpSpPr>
      <xdr:grpSpPr>
        <a:xfrm>
          <a:off x="6899075" y="17221922"/>
          <a:ext cx="182763" cy="225343"/>
          <a:chOff x="6572251" y="7477594"/>
          <a:chExt cx="223837" cy="280178"/>
        </a:xfrm>
      </xdr:grpSpPr>
      <xdr:sp macro="" textlink="">
        <xdr:nvSpPr>
          <xdr:cNvPr id="933" name="Elipse 932">
            <a:extLst>
              <a:ext uri="{FF2B5EF4-FFF2-40B4-BE49-F238E27FC236}">
                <a16:creationId xmlns:a16="http://schemas.microsoft.com/office/drawing/2014/main" id="{D75DA525-BFDE-9B0A-9B33-BCF96484B04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34" name="CaixaDeTexto 933">
            <a:extLst>
              <a:ext uri="{FF2B5EF4-FFF2-40B4-BE49-F238E27FC236}">
                <a16:creationId xmlns:a16="http://schemas.microsoft.com/office/drawing/2014/main" id="{845510CD-8F53-43C8-DD81-ADD01F85F9F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77</xdr:row>
      <xdr:rowOff>208213</xdr:rowOff>
    </xdr:from>
    <xdr:to>
      <xdr:col>7</xdr:col>
      <xdr:colOff>205343</xdr:colOff>
      <xdr:row>78</xdr:row>
      <xdr:rowOff>210861</xdr:rowOff>
    </xdr:to>
    <xdr:grpSp>
      <xdr:nvGrpSpPr>
        <xdr:cNvPr id="935" name="Agrupar 934">
          <a:extLst>
            <a:ext uri="{FF2B5EF4-FFF2-40B4-BE49-F238E27FC236}">
              <a16:creationId xmlns:a16="http://schemas.microsoft.com/office/drawing/2014/main" id="{97AAA5B4-CDDC-4E87-8A5F-16436DCB719D}"/>
            </a:ext>
          </a:extLst>
        </xdr:cNvPr>
        <xdr:cNvGrpSpPr/>
      </xdr:nvGrpSpPr>
      <xdr:grpSpPr>
        <a:xfrm>
          <a:off x="6379010" y="17435200"/>
          <a:ext cx="182763" cy="224496"/>
          <a:chOff x="6572251" y="7468545"/>
          <a:chExt cx="223837" cy="280178"/>
        </a:xfrm>
      </xdr:grpSpPr>
      <xdr:sp macro="" textlink="">
        <xdr:nvSpPr>
          <xdr:cNvPr id="936" name="Elipse 935">
            <a:extLst>
              <a:ext uri="{FF2B5EF4-FFF2-40B4-BE49-F238E27FC236}">
                <a16:creationId xmlns:a16="http://schemas.microsoft.com/office/drawing/2014/main" id="{C0B6931A-17B8-6EFE-F817-DA7F4DA5C2D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37" name="CaixaDeTexto 936">
            <a:extLst>
              <a:ext uri="{FF2B5EF4-FFF2-40B4-BE49-F238E27FC236}">
                <a16:creationId xmlns:a16="http://schemas.microsoft.com/office/drawing/2014/main" id="{5225A82D-674B-A133-B1E3-7E4FE21A754A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77</xdr:row>
      <xdr:rowOff>216783</xdr:rowOff>
    </xdr:from>
    <xdr:to>
      <xdr:col>7</xdr:col>
      <xdr:colOff>725408</xdr:colOff>
      <xdr:row>78</xdr:row>
      <xdr:rowOff>220278</xdr:rowOff>
    </xdr:to>
    <xdr:grpSp>
      <xdr:nvGrpSpPr>
        <xdr:cNvPr id="938" name="Agrupar 937">
          <a:extLst>
            <a:ext uri="{FF2B5EF4-FFF2-40B4-BE49-F238E27FC236}">
              <a16:creationId xmlns:a16="http://schemas.microsoft.com/office/drawing/2014/main" id="{F54D5546-2917-4A74-934D-20F2BD0C42FF}"/>
            </a:ext>
          </a:extLst>
        </xdr:cNvPr>
        <xdr:cNvGrpSpPr/>
      </xdr:nvGrpSpPr>
      <xdr:grpSpPr>
        <a:xfrm>
          <a:off x="6899075" y="17443770"/>
          <a:ext cx="182763" cy="225343"/>
          <a:chOff x="6572251" y="7477594"/>
          <a:chExt cx="223837" cy="280178"/>
        </a:xfrm>
      </xdr:grpSpPr>
      <xdr:sp macro="" textlink="">
        <xdr:nvSpPr>
          <xdr:cNvPr id="939" name="Elipse 938">
            <a:extLst>
              <a:ext uri="{FF2B5EF4-FFF2-40B4-BE49-F238E27FC236}">
                <a16:creationId xmlns:a16="http://schemas.microsoft.com/office/drawing/2014/main" id="{E4202B74-E27B-A99D-AD57-5689644A8A3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40" name="CaixaDeTexto 939">
            <a:extLst>
              <a:ext uri="{FF2B5EF4-FFF2-40B4-BE49-F238E27FC236}">
                <a16:creationId xmlns:a16="http://schemas.microsoft.com/office/drawing/2014/main" id="{8B66FFFB-03E0-C07B-1DD1-8B1DEB691F9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78</xdr:row>
      <xdr:rowOff>208213</xdr:rowOff>
    </xdr:from>
    <xdr:to>
      <xdr:col>7</xdr:col>
      <xdr:colOff>205343</xdr:colOff>
      <xdr:row>79</xdr:row>
      <xdr:rowOff>210861</xdr:rowOff>
    </xdr:to>
    <xdr:grpSp>
      <xdr:nvGrpSpPr>
        <xdr:cNvPr id="941" name="Agrupar 940">
          <a:extLst>
            <a:ext uri="{FF2B5EF4-FFF2-40B4-BE49-F238E27FC236}">
              <a16:creationId xmlns:a16="http://schemas.microsoft.com/office/drawing/2014/main" id="{08C03A17-C7F4-42FC-BFAC-6384CE3065CA}"/>
            </a:ext>
          </a:extLst>
        </xdr:cNvPr>
        <xdr:cNvGrpSpPr/>
      </xdr:nvGrpSpPr>
      <xdr:grpSpPr>
        <a:xfrm>
          <a:off x="6379010" y="17657048"/>
          <a:ext cx="182763" cy="224497"/>
          <a:chOff x="6572251" y="7468545"/>
          <a:chExt cx="223837" cy="280178"/>
        </a:xfrm>
      </xdr:grpSpPr>
      <xdr:sp macro="" textlink="">
        <xdr:nvSpPr>
          <xdr:cNvPr id="942" name="Elipse 941">
            <a:extLst>
              <a:ext uri="{FF2B5EF4-FFF2-40B4-BE49-F238E27FC236}">
                <a16:creationId xmlns:a16="http://schemas.microsoft.com/office/drawing/2014/main" id="{1EBBF061-CB38-1ADE-64E4-D6536592098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43" name="CaixaDeTexto 942">
            <a:extLst>
              <a:ext uri="{FF2B5EF4-FFF2-40B4-BE49-F238E27FC236}">
                <a16:creationId xmlns:a16="http://schemas.microsoft.com/office/drawing/2014/main" id="{93945797-FA3F-B144-EC8E-9FAEC832E4C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78</xdr:row>
      <xdr:rowOff>216783</xdr:rowOff>
    </xdr:from>
    <xdr:to>
      <xdr:col>7</xdr:col>
      <xdr:colOff>725408</xdr:colOff>
      <xdr:row>79</xdr:row>
      <xdr:rowOff>220278</xdr:rowOff>
    </xdr:to>
    <xdr:grpSp>
      <xdr:nvGrpSpPr>
        <xdr:cNvPr id="944" name="Agrupar 943">
          <a:extLst>
            <a:ext uri="{FF2B5EF4-FFF2-40B4-BE49-F238E27FC236}">
              <a16:creationId xmlns:a16="http://schemas.microsoft.com/office/drawing/2014/main" id="{EA2B0CBD-BDAE-4CF2-AE44-60758F244C3A}"/>
            </a:ext>
          </a:extLst>
        </xdr:cNvPr>
        <xdr:cNvGrpSpPr/>
      </xdr:nvGrpSpPr>
      <xdr:grpSpPr>
        <a:xfrm>
          <a:off x="6899075" y="17665618"/>
          <a:ext cx="182763" cy="225344"/>
          <a:chOff x="6572251" y="7477594"/>
          <a:chExt cx="223837" cy="280178"/>
        </a:xfrm>
      </xdr:grpSpPr>
      <xdr:sp macro="" textlink="">
        <xdr:nvSpPr>
          <xdr:cNvPr id="945" name="Elipse 944">
            <a:extLst>
              <a:ext uri="{FF2B5EF4-FFF2-40B4-BE49-F238E27FC236}">
                <a16:creationId xmlns:a16="http://schemas.microsoft.com/office/drawing/2014/main" id="{28CC40E0-0D3E-3F2F-8EFF-6612FA4C523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46" name="CaixaDeTexto 945">
            <a:extLst>
              <a:ext uri="{FF2B5EF4-FFF2-40B4-BE49-F238E27FC236}">
                <a16:creationId xmlns:a16="http://schemas.microsoft.com/office/drawing/2014/main" id="{076552F3-2615-220A-FCA6-DCA4B6D296A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75</xdr:row>
      <xdr:rowOff>208213</xdr:rowOff>
    </xdr:from>
    <xdr:to>
      <xdr:col>7</xdr:col>
      <xdr:colOff>205343</xdr:colOff>
      <xdr:row>76</xdr:row>
      <xdr:rowOff>210861</xdr:rowOff>
    </xdr:to>
    <xdr:grpSp>
      <xdr:nvGrpSpPr>
        <xdr:cNvPr id="947" name="Agrupar 946">
          <a:extLst>
            <a:ext uri="{FF2B5EF4-FFF2-40B4-BE49-F238E27FC236}">
              <a16:creationId xmlns:a16="http://schemas.microsoft.com/office/drawing/2014/main" id="{9DE33A24-2978-4D4B-BB6B-127E475DBF8D}"/>
            </a:ext>
          </a:extLst>
        </xdr:cNvPr>
        <xdr:cNvGrpSpPr/>
      </xdr:nvGrpSpPr>
      <xdr:grpSpPr>
        <a:xfrm>
          <a:off x="6379010" y="16991504"/>
          <a:ext cx="182763" cy="224496"/>
          <a:chOff x="6572251" y="7468545"/>
          <a:chExt cx="223837" cy="280178"/>
        </a:xfrm>
      </xdr:grpSpPr>
      <xdr:sp macro="" textlink="">
        <xdr:nvSpPr>
          <xdr:cNvPr id="948" name="Elipse 947">
            <a:extLst>
              <a:ext uri="{FF2B5EF4-FFF2-40B4-BE49-F238E27FC236}">
                <a16:creationId xmlns:a16="http://schemas.microsoft.com/office/drawing/2014/main" id="{F1CF22F1-9A47-FB4C-DA16-52347AD1850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49" name="CaixaDeTexto 948">
            <a:extLst>
              <a:ext uri="{FF2B5EF4-FFF2-40B4-BE49-F238E27FC236}">
                <a16:creationId xmlns:a16="http://schemas.microsoft.com/office/drawing/2014/main" id="{89D5D381-C86A-4AB4-91BD-3EBD91871BC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75</xdr:row>
      <xdr:rowOff>216783</xdr:rowOff>
    </xdr:from>
    <xdr:to>
      <xdr:col>7</xdr:col>
      <xdr:colOff>725408</xdr:colOff>
      <xdr:row>76</xdr:row>
      <xdr:rowOff>220278</xdr:rowOff>
    </xdr:to>
    <xdr:grpSp>
      <xdr:nvGrpSpPr>
        <xdr:cNvPr id="950" name="Agrupar 949">
          <a:extLst>
            <a:ext uri="{FF2B5EF4-FFF2-40B4-BE49-F238E27FC236}">
              <a16:creationId xmlns:a16="http://schemas.microsoft.com/office/drawing/2014/main" id="{B0076084-FC77-4D37-AA79-951695CE306E}"/>
            </a:ext>
          </a:extLst>
        </xdr:cNvPr>
        <xdr:cNvGrpSpPr/>
      </xdr:nvGrpSpPr>
      <xdr:grpSpPr>
        <a:xfrm>
          <a:off x="6899075" y="17000074"/>
          <a:ext cx="182763" cy="225343"/>
          <a:chOff x="6572251" y="7477594"/>
          <a:chExt cx="223837" cy="280178"/>
        </a:xfrm>
      </xdr:grpSpPr>
      <xdr:sp macro="" textlink="">
        <xdr:nvSpPr>
          <xdr:cNvPr id="951" name="Elipse 950">
            <a:extLst>
              <a:ext uri="{FF2B5EF4-FFF2-40B4-BE49-F238E27FC236}">
                <a16:creationId xmlns:a16="http://schemas.microsoft.com/office/drawing/2014/main" id="{A7DFBF9E-60F7-B692-6063-BAB80217888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52" name="CaixaDeTexto 951">
            <a:extLst>
              <a:ext uri="{FF2B5EF4-FFF2-40B4-BE49-F238E27FC236}">
                <a16:creationId xmlns:a16="http://schemas.microsoft.com/office/drawing/2014/main" id="{EB617FAF-F666-4E82-CAB3-5CB4C808C71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75</xdr:row>
      <xdr:rowOff>208213</xdr:rowOff>
    </xdr:from>
    <xdr:to>
      <xdr:col>7</xdr:col>
      <xdr:colOff>205343</xdr:colOff>
      <xdr:row>76</xdr:row>
      <xdr:rowOff>210861</xdr:rowOff>
    </xdr:to>
    <xdr:grpSp>
      <xdr:nvGrpSpPr>
        <xdr:cNvPr id="953" name="Agrupar 952">
          <a:extLst>
            <a:ext uri="{FF2B5EF4-FFF2-40B4-BE49-F238E27FC236}">
              <a16:creationId xmlns:a16="http://schemas.microsoft.com/office/drawing/2014/main" id="{BB4C1944-40BC-4C39-AED4-6AF87F1ADA4F}"/>
            </a:ext>
          </a:extLst>
        </xdr:cNvPr>
        <xdr:cNvGrpSpPr/>
      </xdr:nvGrpSpPr>
      <xdr:grpSpPr>
        <a:xfrm>
          <a:off x="6379010" y="16991504"/>
          <a:ext cx="182763" cy="224496"/>
          <a:chOff x="6572251" y="7468545"/>
          <a:chExt cx="223837" cy="280178"/>
        </a:xfrm>
      </xdr:grpSpPr>
      <xdr:sp macro="" textlink="">
        <xdr:nvSpPr>
          <xdr:cNvPr id="954" name="Elipse 953">
            <a:extLst>
              <a:ext uri="{FF2B5EF4-FFF2-40B4-BE49-F238E27FC236}">
                <a16:creationId xmlns:a16="http://schemas.microsoft.com/office/drawing/2014/main" id="{363BF510-94E7-F224-B473-D4C522CECAD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55" name="CaixaDeTexto 954">
            <a:extLst>
              <a:ext uri="{FF2B5EF4-FFF2-40B4-BE49-F238E27FC236}">
                <a16:creationId xmlns:a16="http://schemas.microsoft.com/office/drawing/2014/main" id="{532DFB6D-B682-857E-A0AA-E03A1626838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75</xdr:row>
      <xdr:rowOff>216783</xdr:rowOff>
    </xdr:from>
    <xdr:to>
      <xdr:col>7</xdr:col>
      <xdr:colOff>725408</xdr:colOff>
      <xdr:row>76</xdr:row>
      <xdr:rowOff>220278</xdr:rowOff>
    </xdr:to>
    <xdr:grpSp>
      <xdr:nvGrpSpPr>
        <xdr:cNvPr id="956" name="Agrupar 955">
          <a:extLst>
            <a:ext uri="{FF2B5EF4-FFF2-40B4-BE49-F238E27FC236}">
              <a16:creationId xmlns:a16="http://schemas.microsoft.com/office/drawing/2014/main" id="{374CA298-5FCB-48E3-B53A-C38CE33DB325}"/>
            </a:ext>
          </a:extLst>
        </xdr:cNvPr>
        <xdr:cNvGrpSpPr/>
      </xdr:nvGrpSpPr>
      <xdr:grpSpPr>
        <a:xfrm>
          <a:off x="6899075" y="17000074"/>
          <a:ext cx="182763" cy="225343"/>
          <a:chOff x="6572251" y="7477594"/>
          <a:chExt cx="223837" cy="280178"/>
        </a:xfrm>
      </xdr:grpSpPr>
      <xdr:sp macro="" textlink="">
        <xdr:nvSpPr>
          <xdr:cNvPr id="957" name="Elipse 956">
            <a:extLst>
              <a:ext uri="{FF2B5EF4-FFF2-40B4-BE49-F238E27FC236}">
                <a16:creationId xmlns:a16="http://schemas.microsoft.com/office/drawing/2014/main" id="{01471A4E-31E0-926D-DEC2-02EB184B4D8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58" name="CaixaDeTexto 957">
            <a:extLst>
              <a:ext uri="{FF2B5EF4-FFF2-40B4-BE49-F238E27FC236}">
                <a16:creationId xmlns:a16="http://schemas.microsoft.com/office/drawing/2014/main" id="{C33EDD73-F109-BF2E-6AE7-E10ECF979B7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74</xdr:row>
      <xdr:rowOff>208213</xdr:rowOff>
    </xdr:from>
    <xdr:to>
      <xdr:col>7</xdr:col>
      <xdr:colOff>205343</xdr:colOff>
      <xdr:row>75</xdr:row>
      <xdr:rowOff>210861</xdr:rowOff>
    </xdr:to>
    <xdr:grpSp>
      <xdr:nvGrpSpPr>
        <xdr:cNvPr id="959" name="Agrupar 958">
          <a:extLst>
            <a:ext uri="{FF2B5EF4-FFF2-40B4-BE49-F238E27FC236}">
              <a16:creationId xmlns:a16="http://schemas.microsoft.com/office/drawing/2014/main" id="{18AF3C6C-86EB-46AE-8E5E-2D2BB048CFEA}"/>
            </a:ext>
          </a:extLst>
        </xdr:cNvPr>
        <xdr:cNvGrpSpPr/>
      </xdr:nvGrpSpPr>
      <xdr:grpSpPr>
        <a:xfrm>
          <a:off x="6379010" y="16769656"/>
          <a:ext cx="182763" cy="224496"/>
          <a:chOff x="6572251" y="7468545"/>
          <a:chExt cx="223837" cy="280178"/>
        </a:xfrm>
      </xdr:grpSpPr>
      <xdr:sp macro="" textlink="">
        <xdr:nvSpPr>
          <xdr:cNvPr id="960" name="Elipse 959">
            <a:extLst>
              <a:ext uri="{FF2B5EF4-FFF2-40B4-BE49-F238E27FC236}">
                <a16:creationId xmlns:a16="http://schemas.microsoft.com/office/drawing/2014/main" id="{23E247BF-FE9F-CF0E-2772-929A9165871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61" name="CaixaDeTexto 960">
            <a:extLst>
              <a:ext uri="{FF2B5EF4-FFF2-40B4-BE49-F238E27FC236}">
                <a16:creationId xmlns:a16="http://schemas.microsoft.com/office/drawing/2014/main" id="{B3AE70AA-456D-F48F-46BE-3E6A1DBDCD3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74</xdr:row>
      <xdr:rowOff>216783</xdr:rowOff>
    </xdr:from>
    <xdr:to>
      <xdr:col>7</xdr:col>
      <xdr:colOff>725408</xdr:colOff>
      <xdr:row>75</xdr:row>
      <xdr:rowOff>220278</xdr:rowOff>
    </xdr:to>
    <xdr:grpSp>
      <xdr:nvGrpSpPr>
        <xdr:cNvPr id="962" name="Agrupar 961">
          <a:extLst>
            <a:ext uri="{FF2B5EF4-FFF2-40B4-BE49-F238E27FC236}">
              <a16:creationId xmlns:a16="http://schemas.microsoft.com/office/drawing/2014/main" id="{CF3FF1B2-4ADA-443A-A117-63BC0FD88D64}"/>
            </a:ext>
          </a:extLst>
        </xdr:cNvPr>
        <xdr:cNvGrpSpPr/>
      </xdr:nvGrpSpPr>
      <xdr:grpSpPr>
        <a:xfrm>
          <a:off x="6899075" y="16778226"/>
          <a:ext cx="182763" cy="225343"/>
          <a:chOff x="6572251" y="7477594"/>
          <a:chExt cx="223837" cy="280178"/>
        </a:xfrm>
      </xdr:grpSpPr>
      <xdr:sp macro="" textlink="">
        <xdr:nvSpPr>
          <xdr:cNvPr id="963" name="Elipse 962">
            <a:extLst>
              <a:ext uri="{FF2B5EF4-FFF2-40B4-BE49-F238E27FC236}">
                <a16:creationId xmlns:a16="http://schemas.microsoft.com/office/drawing/2014/main" id="{04B998D6-A2B8-3936-6D05-B97444009C1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64" name="CaixaDeTexto 963">
            <a:extLst>
              <a:ext uri="{FF2B5EF4-FFF2-40B4-BE49-F238E27FC236}">
                <a16:creationId xmlns:a16="http://schemas.microsoft.com/office/drawing/2014/main" id="{403FB8B2-BD66-C3C7-DC92-5EDF702F2BD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79</xdr:row>
      <xdr:rowOff>208213</xdr:rowOff>
    </xdr:from>
    <xdr:to>
      <xdr:col>7</xdr:col>
      <xdr:colOff>205343</xdr:colOff>
      <xdr:row>80</xdr:row>
      <xdr:rowOff>210861</xdr:rowOff>
    </xdr:to>
    <xdr:grpSp>
      <xdr:nvGrpSpPr>
        <xdr:cNvPr id="965" name="Agrupar 964">
          <a:extLst>
            <a:ext uri="{FF2B5EF4-FFF2-40B4-BE49-F238E27FC236}">
              <a16:creationId xmlns:a16="http://schemas.microsoft.com/office/drawing/2014/main" id="{5DE5BE27-A17F-4EBA-89DF-440206F7DC4B}"/>
            </a:ext>
          </a:extLst>
        </xdr:cNvPr>
        <xdr:cNvGrpSpPr/>
      </xdr:nvGrpSpPr>
      <xdr:grpSpPr>
        <a:xfrm>
          <a:off x="6379010" y="17878897"/>
          <a:ext cx="182763" cy="224496"/>
          <a:chOff x="6572251" y="7468545"/>
          <a:chExt cx="223837" cy="280178"/>
        </a:xfrm>
      </xdr:grpSpPr>
      <xdr:sp macro="" textlink="">
        <xdr:nvSpPr>
          <xdr:cNvPr id="966" name="Elipse 965">
            <a:extLst>
              <a:ext uri="{FF2B5EF4-FFF2-40B4-BE49-F238E27FC236}">
                <a16:creationId xmlns:a16="http://schemas.microsoft.com/office/drawing/2014/main" id="{CDC82B76-1495-3C7B-61CB-1E2BA9FCDE8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67" name="CaixaDeTexto 966">
            <a:extLst>
              <a:ext uri="{FF2B5EF4-FFF2-40B4-BE49-F238E27FC236}">
                <a16:creationId xmlns:a16="http://schemas.microsoft.com/office/drawing/2014/main" id="{A01F3D3F-9F2E-2B20-462F-5CBB56D5990A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79</xdr:row>
      <xdr:rowOff>216783</xdr:rowOff>
    </xdr:from>
    <xdr:to>
      <xdr:col>7</xdr:col>
      <xdr:colOff>725408</xdr:colOff>
      <xdr:row>80</xdr:row>
      <xdr:rowOff>220278</xdr:rowOff>
    </xdr:to>
    <xdr:grpSp>
      <xdr:nvGrpSpPr>
        <xdr:cNvPr id="968" name="Agrupar 967">
          <a:extLst>
            <a:ext uri="{FF2B5EF4-FFF2-40B4-BE49-F238E27FC236}">
              <a16:creationId xmlns:a16="http://schemas.microsoft.com/office/drawing/2014/main" id="{96CE23EA-6E14-4123-A198-EE59B8ED9ED9}"/>
            </a:ext>
          </a:extLst>
        </xdr:cNvPr>
        <xdr:cNvGrpSpPr/>
      </xdr:nvGrpSpPr>
      <xdr:grpSpPr>
        <a:xfrm>
          <a:off x="6899075" y="17887467"/>
          <a:ext cx="182763" cy="225343"/>
          <a:chOff x="6572251" y="7477594"/>
          <a:chExt cx="223837" cy="280178"/>
        </a:xfrm>
      </xdr:grpSpPr>
      <xdr:sp macro="" textlink="">
        <xdr:nvSpPr>
          <xdr:cNvPr id="969" name="Elipse 968">
            <a:extLst>
              <a:ext uri="{FF2B5EF4-FFF2-40B4-BE49-F238E27FC236}">
                <a16:creationId xmlns:a16="http://schemas.microsoft.com/office/drawing/2014/main" id="{6FA9E262-BA62-4DFD-BE31-D64EA9C7C07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70" name="CaixaDeTexto 969">
            <a:extLst>
              <a:ext uri="{FF2B5EF4-FFF2-40B4-BE49-F238E27FC236}">
                <a16:creationId xmlns:a16="http://schemas.microsoft.com/office/drawing/2014/main" id="{008968CE-F65D-2FD4-37B3-1CB60FEC2F0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82</xdr:row>
      <xdr:rowOff>208213</xdr:rowOff>
    </xdr:from>
    <xdr:to>
      <xdr:col>7</xdr:col>
      <xdr:colOff>205343</xdr:colOff>
      <xdr:row>83</xdr:row>
      <xdr:rowOff>210861</xdr:rowOff>
    </xdr:to>
    <xdr:grpSp>
      <xdr:nvGrpSpPr>
        <xdr:cNvPr id="971" name="Agrupar 970">
          <a:extLst>
            <a:ext uri="{FF2B5EF4-FFF2-40B4-BE49-F238E27FC236}">
              <a16:creationId xmlns:a16="http://schemas.microsoft.com/office/drawing/2014/main" id="{9BE7298E-52F5-45A2-BEAD-9AFB3740B7EF}"/>
            </a:ext>
          </a:extLst>
        </xdr:cNvPr>
        <xdr:cNvGrpSpPr/>
      </xdr:nvGrpSpPr>
      <xdr:grpSpPr>
        <a:xfrm>
          <a:off x="6379010" y="18544441"/>
          <a:ext cx="182763" cy="224496"/>
          <a:chOff x="6572251" y="7468545"/>
          <a:chExt cx="223837" cy="280178"/>
        </a:xfrm>
      </xdr:grpSpPr>
      <xdr:sp macro="" textlink="">
        <xdr:nvSpPr>
          <xdr:cNvPr id="972" name="Elipse 971">
            <a:extLst>
              <a:ext uri="{FF2B5EF4-FFF2-40B4-BE49-F238E27FC236}">
                <a16:creationId xmlns:a16="http://schemas.microsoft.com/office/drawing/2014/main" id="{0420614F-2A65-9FE7-1B45-E9A8AF69F9A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73" name="CaixaDeTexto 972">
            <a:extLst>
              <a:ext uri="{FF2B5EF4-FFF2-40B4-BE49-F238E27FC236}">
                <a16:creationId xmlns:a16="http://schemas.microsoft.com/office/drawing/2014/main" id="{FB71C8E0-4147-CC22-EF14-634399577DC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82</xdr:row>
      <xdr:rowOff>216783</xdr:rowOff>
    </xdr:from>
    <xdr:to>
      <xdr:col>7</xdr:col>
      <xdr:colOff>725408</xdr:colOff>
      <xdr:row>83</xdr:row>
      <xdr:rowOff>220278</xdr:rowOff>
    </xdr:to>
    <xdr:grpSp>
      <xdr:nvGrpSpPr>
        <xdr:cNvPr id="974" name="Agrupar 973">
          <a:extLst>
            <a:ext uri="{FF2B5EF4-FFF2-40B4-BE49-F238E27FC236}">
              <a16:creationId xmlns:a16="http://schemas.microsoft.com/office/drawing/2014/main" id="{A0CBEEBE-81A9-4B40-8B5C-A737AEF25758}"/>
            </a:ext>
          </a:extLst>
        </xdr:cNvPr>
        <xdr:cNvGrpSpPr/>
      </xdr:nvGrpSpPr>
      <xdr:grpSpPr>
        <a:xfrm>
          <a:off x="6899075" y="18553011"/>
          <a:ext cx="182763" cy="225343"/>
          <a:chOff x="6572251" y="7477594"/>
          <a:chExt cx="223837" cy="280178"/>
        </a:xfrm>
      </xdr:grpSpPr>
      <xdr:sp macro="" textlink="">
        <xdr:nvSpPr>
          <xdr:cNvPr id="975" name="Elipse 974">
            <a:extLst>
              <a:ext uri="{FF2B5EF4-FFF2-40B4-BE49-F238E27FC236}">
                <a16:creationId xmlns:a16="http://schemas.microsoft.com/office/drawing/2014/main" id="{8EF332AB-144E-B006-3D06-4AC80A921DA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76" name="CaixaDeTexto 975">
            <a:extLst>
              <a:ext uri="{FF2B5EF4-FFF2-40B4-BE49-F238E27FC236}">
                <a16:creationId xmlns:a16="http://schemas.microsoft.com/office/drawing/2014/main" id="{0C9D97B6-3C64-33F7-843A-20605B695A0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83</xdr:row>
      <xdr:rowOff>208213</xdr:rowOff>
    </xdr:from>
    <xdr:to>
      <xdr:col>7</xdr:col>
      <xdr:colOff>205343</xdr:colOff>
      <xdr:row>84</xdr:row>
      <xdr:rowOff>210861</xdr:rowOff>
    </xdr:to>
    <xdr:grpSp>
      <xdr:nvGrpSpPr>
        <xdr:cNvPr id="977" name="Agrupar 976">
          <a:extLst>
            <a:ext uri="{FF2B5EF4-FFF2-40B4-BE49-F238E27FC236}">
              <a16:creationId xmlns:a16="http://schemas.microsoft.com/office/drawing/2014/main" id="{73DD7A5B-B588-4A75-9286-66A16DE57AE6}"/>
            </a:ext>
          </a:extLst>
        </xdr:cNvPr>
        <xdr:cNvGrpSpPr/>
      </xdr:nvGrpSpPr>
      <xdr:grpSpPr>
        <a:xfrm>
          <a:off x="6379010" y="18766289"/>
          <a:ext cx="182763" cy="224496"/>
          <a:chOff x="6572251" y="7468545"/>
          <a:chExt cx="223837" cy="280178"/>
        </a:xfrm>
      </xdr:grpSpPr>
      <xdr:sp macro="" textlink="">
        <xdr:nvSpPr>
          <xdr:cNvPr id="978" name="Elipse 977">
            <a:extLst>
              <a:ext uri="{FF2B5EF4-FFF2-40B4-BE49-F238E27FC236}">
                <a16:creationId xmlns:a16="http://schemas.microsoft.com/office/drawing/2014/main" id="{B6EEDC52-225A-8185-FFBC-A69AF988D5A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79" name="CaixaDeTexto 978">
            <a:extLst>
              <a:ext uri="{FF2B5EF4-FFF2-40B4-BE49-F238E27FC236}">
                <a16:creationId xmlns:a16="http://schemas.microsoft.com/office/drawing/2014/main" id="{8AC5468F-A2BB-CCEB-A8BA-A2914E1A14F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83</xdr:row>
      <xdr:rowOff>216783</xdr:rowOff>
    </xdr:from>
    <xdr:to>
      <xdr:col>7</xdr:col>
      <xdr:colOff>725408</xdr:colOff>
      <xdr:row>84</xdr:row>
      <xdr:rowOff>220278</xdr:rowOff>
    </xdr:to>
    <xdr:grpSp>
      <xdr:nvGrpSpPr>
        <xdr:cNvPr id="980" name="Agrupar 979">
          <a:extLst>
            <a:ext uri="{FF2B5EF4-FFF2-40B4-BE49-F238E27FC236}">
              <a16:creationId xmlns:a16="http://schemas.microsoft.com/office/drawing/2014/main" id="{EC6DFD72-15CE-4A8C-95B9-2F819367BC6C}"/>
            </a:ext>
          </a:extLst>
        </xdr:cNvPr>
        <xdr:cNvGrpSpPr/>
      </xdr:nvGrpSpPr>
      <xdr:grpSpPr>
        <a:xfrm>
          <a:off x="6899075" y="18774859"/>
          <a:ext cx="182763" cy="225343"/>
          <a:chOff x="6572251" y="7477594"/>
          <a:chExt cx="223837" cy="280178"/>
        </a:xfrm>
      </xdr:grpSpPr>
      <xdr:sp macro="" textlink="">
        <xdr:nvSpPr>
          <xdr:cNvPr id="981" name="Elipse 980">
            <a:extLst>
              <a:ext uri="{FF2B5EF4-FFF2-40B4-BE49-F238E27FC236}">
                <a16:creationId xmlns:a16="http://schemas.microsoft.com/office/drawing/2014/main" id="{3242923B-5E01-2E8F-0773-7DA4DC65538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82" name="CaixaDeTexto 981">
            <a:extLst>
              <a:ext uri="{FF2B5EF4-FFF2-40B4-BE49-F238E27FC236}">
                <a16:creationId xmlns:a16="http://schemas.microsoft.com/office/drawing/2014/main" id="{B83E3517-F786-7A0D-7148-0993CA6E913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84</xdr:row>
      <xdr:rowOff>208213</xdr:rowOff>
    </xdr:from>
    <xdr:to>
      <xdr:col>7</xdr:col>
      <xdr:colOff>205343</xdr:colOff>
      <xdr:row>85</xdr:row>
      <xdr:rowOff>210861</xdr:rowOff>
    </xdr:to>
    <xdr:grpSp>
      <xdr:nvGrpSpPr>
        <xdr:cNvPr id="983" name="Agrupar 982">
          <a:extLst>
            <a:ext uri="{FF2B5EF4-FFF2-40B4-BE49-F238E27FC236}">
              <a16:creationId xmlns:a16="http://schemas.microsoft.com/office/drawing/2014/main" id="{0E17A211-6D82-47B3-96CA-CB30C6E19DB1}"/>
            </a:ext>
          </a:extLst>
        </xdr:cNvPr>
        <xdr:cNvGrpSpPr/>
      </xdr:nvGrpSpPr>
      <xdr:grpSpPr>
        <a:xfrm>
          <a:off x="6379010" y="18988137"/>
          <a:ext cx="182763" cy="224496"/>
          <a:chOff x="6572251" y="7468545"/>
          <a:chExt cx="223837" cy="280178"/>
        </a:xfrm>
      </xdr:grpSpPr>
      <xdr:sp macro="" textlink="">
        <xdr:nvSpPr>
          <xdr:cNvPr id="984" name="Elipse 983">
            <a:extLst>
              <a:ext uri="{FF2B5EF4-FFF2-40B4-BE49-F238E27FC236}">
                <a16:creationId xmlns:a16="http://schemas.microsoft.com/office/drawing/2014/main" id="{BE9B7572-2E51-5C11-42F1-A54C3260034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85" name="CaixaDeTexto 984">
            <a:extLst>
              <a:ext uri="{FF2B5EF4-FFF2-40B4-BE49-F238E27FC236}">
                <a16:creationId xmlns:a16="http://schemas.microsoft.com/office/drawing/2014/main" id="{57BE68A1-DDEB-7A37-CE74-481BBCA2D4F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84</xdr:row>
      <xdr:rowOff>216783</xdr:rowOff>
    </xdr:from>
    <xdr:to>
      <xdr:col>7</xdr:col>
      <xdr:colOff>725408</xdr:colOff>
      <xdr:row>85</xdr:row>
      <xdr:rowOff>220278</xdr:rowOff>
    </xdr:to>
    <xdr:grpSp>
      <xdr:nvGrpSpPr>
        <xdr:cNvPr id="986" name="Agrupar 985">
          <a:extLst>
            <a:ext uri="{FF2B5EF4-FFF2-40B4-BE49-F238E27FC236}">
              <a16:creationId xmlns:a16="http://schemas.microsoft.com/office/drawing/2014/main" id="{C93FC189-0654-494E-AE15-272B81418EB5}"/>
            </a:ext>
          </a:extLst>
        </xdr:cNvPr>
        <xdr:cNvGrpSpPr/>
      </xdr:nvGrpSpPr>
      <xdr:grpSpPr>
        <a:xfrm>
          <a:off x="6899075" y="18996707"/>
          <a:ext cx="182763" cy="225343"/>
          <a:chOff x="6572251" y="7477594"/>
          <a:chExt cx="223837" cy="280178"/>
        </a:xfrm>
      </xdr:grpSpPr>
      <xdr:sp macro="" textlink="">
        <xdr:nvSpPr>
          <xdr:cNvPr id="987" name="Elipse 986">
            <a:extLst>
              <a:ext uri="{FF2B5EF4-FFF2-40B4-BE49-F238E27FC236}">
                <a16:creationId xmlns:a16="http://schemas.microsoft.com/office/drawing/2014/main" id="{DCAB52FA-6804-F895-7070-8B90816F6AC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88" name="CaixaDeTexto 987">
            <a:extLst>
              <a:ext uri="{FF2B5EF4-FFF2-40B4-BE49-F238E27FC236}">
                <a16:creationId xmlns:a16="http://schemas.microsoft.com/office/drawing/2014/main" id="{3BB35211-8744-1830-6B6D-67E269A0342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81</xdr:row>
      <xdr:rowOff>208213</xdr:rowOff>
    </xdr:from>
    <xdr:to>
      <xdr:col>7</xdr:col>
      <xdr:colOff>205343</xdr:colOff>
      <xdr:row>82</xdr:row>
      <xdr:rowOff>210861</xdr:rowOff>
    </xdr:to>
    <xdr:grpSp>
      <xdr:nvGrpSpPr>
        <xdr:cNvPr id="989" name="Agrupar 988">
          <a:extLst>
            <a:ext uri="{FF2B5EF4-FFF2-40B4-BE49-F238E27FC236}">
              <a16:creationId xmlns:a16="http://schemas.microsoft.com/office/drawing/2014/main" id="{6E6DF17C-C582-4BC4-8C7E-430CE36A99B5}"/>
            </a:ext>
          </a:extLst>
        </xdr:cNvPr>
        <xdr:cNvGrpSpPr/>
      </xdr:nvGrpSpPr>
      <xdr:grpSpPr>
        <a:xfrm>
          <a:off x="6379010" y="18322593"/>
          <a:ext cx="182763" cy="224496"/>
          <a:chOff x="6572251" y="7468545"/>
          <a:chExt cx="223837" cy="280178"/>
        </a:xfrm>
      </xdr:grpSpPr>
      <xdr:sp macro="" textlink="">
        <xdr:nvSpPr>
          <xdr:cNvPr id="990" name="Elipse 989">
            <a:extLst>
              <a:ext uri="{FF2B5EF4-FFF2-40B4-BE49-F238E27FC236}">
                <a16:creationId xmlns:a16="http://schemas.microsoft.com/office/drawing/2014/main" id="{26276CB3-769C-ADED-5522-EE54B2AF0CE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91" name="CaixaDeTexto 990">
            <a:extLst>
              <a:ext uri="{FF2B5EF4-FFF2-40B4-BE49-F238E27FC236}">
                <a16:creationId xmlns:a16="http://schemas.microsoft.com/office/drawing/2014/main" id="{52296EB3-E893-742D-B4BC-65BACD08A7C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81</xdr:row>
      <xdr:rowOff>216783</xdr:rowOff>
    </xdr:from>
    <xdr:to>
      <xdr:col>7</xdr:col>
      <xdr:colOff>725408</xdr:colOff>
      <xdr:row>82</xdr:row>
      <xdr:rowOff>220278</xdr:rowOff>
    </xdr:to>
    <xdr:grpSp>
      <xdr:nvGrpSpPr>
        <xdr:cNvPr id="992" name="Agrupar 991">
          <a:extLst>
            <a:ext uri="{FF2B5EF4-FFF2-40B4-BE49-F238E27FC236}">
              <a16:creationId xmlns:a16="http://schemas.microsoft.com/office/drawing/2014/main" id="{A823C975-FBDD-4033-8EF8-99C305D8BDA8}"/>
            </a:ext>
          </a:extLst>
        </xdr:cNvPr>
        <xdr:cNvGrpSpPr/>
      </xdr:nvGrpSpPr>
      <xdr:grpSpPr>
        <a:xfrm>
          <a:off x="6899075" y="18331163"/>
          <a:ext cx="182763" cy="225343"/>
          <a:chOff x="6572251" y="7477594"/>
          <a:chExt cx="223837" cy="280178"/>
        </a:xfrm>
      </xdr:grpSpPr>
      <xdr:sp macro="" textlink="">
        <xdr:nvSpPr>
          <xdr:cNvPr id="993" name="Elipse 992">
            <a:extLst>
              <a:ext uri="{FF2B5EF4-FFF2-40B4-BE49-F238E27FC236}">
                <a16:creationId xmlns:a16="http://schemas.microsoft.com/office/drawing/2014/main" id="{924CE541-A19A-309C-B2DB-62ADA481E08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94" name="CaixaDeTexto 993">
            <a:extLst>
              <a:ext uri="{FF2B5EF4-FFF2-40B4-BE49-F238E27FC236}">
                <a16:creationId xmlns:a16="http://schemas.microsoft.com/office/drawing/2014/main" id="{D874DD94-DF82-0531-F45E-494479278A3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85</xdr:row>
      <xdr:rowOff>208213</xdr:rowOff>
    </xdr:from>
    <xdr:to>
      <xdr:col>7</xdr:col>
      <xdr:colOff>205343</xdr:colOff>
      <xdr:row>86</xdr:row>
      <xdr:rowOff>210861</xdr:rowOff>
    </xdr:to>
    <xdr:grpSp>
      <xdr:nvGrpSpPr>
        <xdr:cNvPr id="995" name="Agrupar 994">
          <a:extLst>
            <a:ext uri="{FF2B5EF4-FFF2-40B4-BE49-F238E27FC236}">
              <a16:creationId xmlns:a16="http://schemas.microsoft.com/office/drawing/2014/main" id="{F4D3F696-4184-4F8F-A163-26D64CA17917}"/>
            </a:ext>
          </a:extLst>
        </xdr:cNvPr>
        <xdr:cNvGrpSpPr/>
      </xdr:nvGrpSpPr>
      <xdr:grpSpPr>
        <a:xfrm>
          <a:off x="6379010" y="19209985"/>
          <a:ext cx="182763" cy="224496"/>
          <a:chOff x="6572251" y="7468545"/>
          <a:chExt cx="223837" cy="280178"/>
        </a:xfrm>
      </xdr:grpSpPr>
      <xdr:sp macro="" textlink="">
        <xdr:nvSpPr>
          <xdr:cNvPr id="996" name="Elipse 995">
            <a:extLst>
              <a:ext uri="{FF2B5EF4-FFF2-40B4-BE49-F238E27FC236}">
                <a16:creationId xmlns:a16="http://schemas.microsoft.com/office/drawing/2014/main" id="{A6AC20E8-4792-81C6-ABB6-7F2821981D5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97" name="CaixaDeTexto 996">
            <a:extLst>
              <a:ext uri="{FF2B5EF4-FFF2-40B4-BE49-F238E27FC236}">
                <a16:creationId xmlns:a16="http://schemas.microsoft.com/office/drawing/2014/main" id="{5717828D-2862-E5E6-A30F-CC1E067537F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85</xdr:row>
      <xdr:rowOff>216783</xdr:rowOff>
    </xdr:from>
    <xdr:to>
      <xdr:col>7</xdr:col>
      <xdr:colOff>725408</xdr:colOff>
      <xdr:row>86</xdr:row>
      <xdr:rowOff>220278</xdr:rowOff>
    </xdr:to>
    <xdr:grpSp>
      <xdr:nvGrpSpPr>
        <xdr:cNvPr id="998" name="Agrupar 997">
          <a:extLst>
            <a:ext uri="{FF2B5EF4-FFF2-40B4-BE49-F238E27FC236}">
              <a16:creationId xmlns:a16="http://schemas.microsoft.com/office/drawing/2014/main" id="{B029A660-9FE4-46FF-AC93-B23E831CD65D}"/>
            </a:ext>
          </a:extLst>
        </xdr:cNvPr>
        <xdr:cNvGrpSpPr/>
      </xdr:nvGrpSpPr>
      <xdr:grpSpPr>
        <a:xfrm>
          <a:off x="6899075" y="19218555"/>
          <a:ext cx="182763" cy="225343"/>
          <a:chOff x="6572251" y="7477594"/>
          <a:chExt cx="223837" cy="280178"/>
        </a:xfrm>
      </xdr:grpSpPr>
      <xdr:sp macro="" textlink="">
        <xdr:nvSpPr>
          <xdr:cNvPr id="999" name="Elipse 998">
            <a:extLst>
              <a:ext uri="{FF2B5EF4-FFF2-40B4-BE49-F238E27FC236}">
                <a16:creationId xmlns:a16="http://schemas.microsoft.com/office/drawing/2014/main" id="{300A19CC-D275-C299-3611-E46032AB1BB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00" name="CaixaDeTexto 999">
            <a:extLst>
              <a:ext uri="{FF2B5EF4-FFF2-40B4-BE49-F238E27FC236}">
                <a16:creationId xmlns:a16="http://schemas.microsoft.com/office/drawing/2014/main" id="{DEF2D813-A036-4166-56FD-FCBF08D1772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81</xdr:row>
      <xdr:rowOff>208213</xdr:rowOff>
    </xdr:from>
    <xdr:to>
      <xdr:col>7</xdr:col>
      <xdr:colOff>205343</xdr:colOff>
      <xdr:row>82</xdr:row>
      <xdr:rowOff>210861</xdr:rowOff>
    </xdr:to>
    <xdr:grpSp>
      <xdr:nvGrpSpPr>
        <xdr:cNvPr id="1001" name="Agrupar 1000">
          <a:extLst>
            <a:ext uri="{FF2B5EF4-FFF2-40B4-BE49-F238E27FC236}">
              <a16:creationId xmlns:a16="http://schemas.microsoft.com/office/drawing/2014/main" id="{81D55178-386D-47AA-A517-96CA5BD944CA}"/>
            </a:ext>
          </a:extLst>
        </xdr:cNvPr>
        <xdr:cNvGrpSpPr/>
      </xdr:nvGrpSpPr>
      <xdr:grpSpPr>
        <a:xfrm>
          <a:off x="6379010" y="18322593"/>
          <a:ext cx="182763" cy="224496"/>
          <a:chOff x="6572251" y="7468545"/>
          <a:chExt cx="223837" cy="280178"/>
        </a:xfrm>
      </xdr:grpSpPr>
      <xdr:sp macro="" textlink="">
        <xdr:nvSpPr>
          <xdr:cNvPr id="1002" name="Elipse 1001">
            <a:extLst>
              <a:ext uri="{FF2B5EF4-FFF2-40B4-BE49-F238E27FC236}">
                <a16:creationId xmlns:a16="http://schemas.microsoft.com/office/drawing/2014/main" id="{FEA4F14C-A42C-6FEF-5F65-281A45E6907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03" name="CaixaDeTexto 1002">
            <a:extLst>
              <a:ext uri="{FF2B5EF4-FFF2-40B4-BE49-F238E27FC236}">
                <a16:creationId xmlns:a16="http://schemas.microsoft.com/office/drawing/2014/main" id="{8FC10155-F231-C3C9-A82F-9CE62826FC0C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81</xdr:row>
      <xdr:rowOff>216783</xdr:rowOff>
    </xdr:from>
    <xdr:to>
      <xdr:col>7</xdr:col>
      <xdr:colOff>725408</xdr:colOff>
      <xdr:row>82</xdr:row>
      <xdr:rowOff>220278</xdr:rowOff>
    </xdr:to>
    <xdr:grpSp>
      <xdr:nvGrpSpPr>
        <xdr:cNvPr id="1004" name="Agrupar 1003">
          <a:extLst>
            <a:ext uri="{FF2B5EF4-FFF2-40B4-BE49-F238E27FC236}">
              <a16:creationId xmlns:a16="http://schemas.microsoft.com/office/drawing/2014/main" id="{2534CFD4-0A01-4759-973D-BCE206B46011}"/>
            </a:ext>
          </a:extLst>
        </xdr:cNvPr>
        <xdr:cNvGrpSpPr/>
      </xdr:nvGrpSpPr>
      <xdr:grpSpPr>
        <a:xfrm>
          <a:off x="6899075" y="18331163"/>
          <a:ext cx="182763" cy="225343"/>
          <a:chOff x="6572251" y="7477594"/>
          <a:chExt cx="223837" cy="280178"/>
        </a:xfrm>
      </xdr:grpSpPr>
      <xdr:sp macro="" textlink="">
        <xdr:nvSpPr>
          <xdr:cNvPr id="1005" name="Elipse 1004">
            <a:extLst>
              <a:ext uri="{FF2B5EF4-FFF2-40B4-BE49-F238E27FC236}">
                <a16:creationId xmlns:a16="http://schemas.microsoft.com/office/drawing/2014/main" id="{8650E52E-F40F-7CC6-FB25-471E3905C18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06" name="CaixaDeTexto 1005">
            <a:extLst>
              <a:ext uri="{FF2B5EF4-FFF2-40B4-BE49-F238E27FC236}">
                <a16:creationId xmlns:a16="http://schemas.microsoft.com/office/drawing/2014/main" id="{0F3C6EA3-0DC9-AEEF-4C70-DB0879288EC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80</xdr:row>
      <xdr:rowOff>208213</xdr:rowOff>
    </xdr:from>
    <xdr:to>
      <xdr:col>7</xdr:col>
      <xdr:colOff>205343</xdr:colOff>
      <xdr:row>81</xdr:row>
      <xdr:rowOff>210861</xdr:rowOff>
    </xdr:to>
    <xdr:grpSp>
      <xdr:nvGrpSpPr>
        <xdr:cNvPr id="1007" name="Agrupar 1006">
          <a:extLst>
            <a:ext uri="{FF2B5EF4-FFF2-40B4-BE49-F238E27FC236}">
              <a16:creationId xmlns:a16="http://schemas.microsoft.com/office/drawing/2014/main" id="{750C47AC-159F-48F1-9D76-4D1C657072FF}"/>
            </a:ext>
          </a:extLst>
        </xdr:cNvPr>
        <xdr:cNvGrpSpPr/>
      </xdr:nvGrpSpPr>
      <xdr:grpSpPr>
        <a:xfrm>
          <a:off x="6379010" y="18100745"/>
          <a:ext cx="182763" cy="224496"/>
          <a:chOff x="6572251" y="7468545"/>
          <a:chExt cx="223837" cy="280178"/>
        </a:xfrm>
      </xdr:grpSpPr>
      <xdr:sp macro="" textlink="">
        <xdr:nvSpPr>
          <xdr:cNvPr id="1008" name="Elipse 1007">
            <a:extLst>
              <a:ext uri="{FF2B5EF4-FFF2-40B4-BE49-F238E27FC236}">
                <a16:creationId xmlns:a16="http://schemas.microsoft.com/office/drawing/2014/main" id="{D56F317A-4D4D-2C30-1917-E8F88EC06CA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09" name="CaixaDeTexto 1008">
            <a:extLst>
              <a:ext uri="{FF2B5EF4-FFF2-40B4-BE49-F238E27FC236}">
                <a16:creationId xmlns:a16="http://schemas.microsoft.com/office/drawing/2014/main" id="{1EB393AD-1F76-A9FF-273B-0B7DA898006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80</xdr:row>
      <xdr:rowOff>216783</xdr:rowOff>
    </xdr:from>
    <xdr:to>
      <xdr:col>7</xdr:col>
      <xdr:colOff>725408</xdr:colOff>
      <xdr:row>81</xdr:row>
      <xdr:rowOff>220278</xdr:rowOff>
    </xdr:to>
    <xdr:grpSp>
      <xdr:nvGrpSpPr>
        <xdr:cNvPr id="1010" name="Agrupar 1009">
          <a:extLst>
            <a:ext uri="{FF2B5EF4-FFF2-40B4-BE49-F238E27FC236}">
              <a16:creationId xmlns:a16="http://schemas.microsoft.com/office/drawing/2014/main" id="{CF3D1A97-F25D-4D6B-8C18-52C209CFEED4}"/>
            </a:ext>
          </a:extLst>
        </xdr:cNvPr>
        <xdr:cNvGrpSpPr/>
      </xdr:nvGrpSpPr>
      <xdr:grpSpPr>
        <a:xfrm>
          <a:off x="6899075" y="18109315"/>
          <a:ext cx="182763" cy="225343"/>
          <a:chOff x="6572251" y="7477594"/>
          <a:chExt cx="223837" cy="280178"/>
        </a:xfrm>
      </xdr:grpSpPr>
      <xdr:sp macro="" textlink="">
        <xdr:nvSpPr>
          <xdr:cNvPr id="1011" name="Elipse 1010">
            <a:extLst>
              <a:ext uri="{FF2B5EF4-FFF2-40B4-BE49-F238E27FC236}">
                <a16:creationId xmlns:a16="http://schemas.microsoft.com/office/drawing/2014/main" id="{572D927E-D43F-5A90-E68B-96A1D993216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12" name="CaixaDeTexto 1011">
            <a:extLst>
              <a:ext uri="{FF2B5EF4-FFF2-40B4-BE49-F238E27FC236}">
                <a16:creationId xmlns:a16="http://schemas.microsoft.com/office/drawing/2014/main" id="{859A0769-63A7-F1AC-3A7E-C620685B45D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88</xdr:row>
      <xdr:rowOff>208213</xdr:rowOff>
    </xdr:from>
    <xdr:to>
      <xdr:col>7</xdr:col>
      <xdr:colOff>205343</xdr:colOff>
      <xdr:row>89</xdr:row>
      <xdr:rowOff>210861</xdr:rowOff>
    </xdr:to>
    <xdr:grpSp>
      <xdr:nvGrpSpPr>
        <xdr:cNvPr id="1013" name="Agrupar 1012">
          <a:extLst>
            <a:ext uri="{FF2B5EF4-FFF2-40B4-BE49-F238E27FC236}">
              <a16:creationId xmlns:a16="http://schemas.microsoft.com/office/drawing/2014/main" id="{E7705E85-E4D9-46A1-99B3-841533F7B6EE}"/>
            </a:ext>
          </a:extLst>
        </xdr:cNvPr>
        <xdr:cNvGrpSpPr/>
      </xdr:nvGrpSpPr>
      <xdr:grpSpPr>
        <a:xfrm>
          <a:off x="6379010" y="19875529"/>
          <a:ext cx="182763" cy="224497"/>
          <a:chOff x="6572251" y="7468545"/>
          <a:chExt cx="223837" cy="280178"/>
        </a:xfrm>
      </xdr:grpSpPr>
      <xdr:sp macro="" textlink="">
        <xdr:nvSpPr>
          <xdr:cNvPr id="1014" name="Elipse 1013">
            <a:extLst>
              <a:ext uri="{FF2B5EF4-FFF2-40B4-BE49-F238E27FC236}">
                <a16:creationId xmlns:a16="http://schemas.microsoft.com/office/drawing/2014/main" id="{9FDDD22E-A9BB-9178-7692-BFB41517031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15" name="CaixaDeTexto 1014">
            <a:extLst>
              <a:ext uri="{FF2B5EF4-FFF2-40B4-BE49-F238E27FC236}">
                <a16:creationId xmlns:a16="http://schemas.microsoft.com/office/drawing/2014/main" id="{3B8CC129-0785-79A0-EF64-DB1C1B924F5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88</xdr:row>
      <xdr:rowOff>216783</xdr:rowOff>
    </xdr:from>
    <xdr:to>
      <xdr:col>7</xdr:col>
      <xdr:colOff>725408</xdr:colOff>
      <xdr:row>89</xdr:row>
      <xdr:rowOff>220278</xdr:rowOff>
    </xdr:to>
    <xdr:grpSp>
      <xdr:nvGrpSpPr>
        <xdr:cNvPr id="1016" name="Agrupar 1015">
          <a:extLst>
            <a:ext uri="{FF2B5EF4-FFF2-40B4-BE49-F238E27FC236}">
              <a16:creationId xmlns:a16="http://schemas.microsoft.com/office/drawing/2014/main" id="{B0747D93-087B-43C6-B29D-4791A48D48E3}"/>
            </a:ext>
          </a:extLst>
        </xdr:cNvPr>
        <xdr:cNvGrpSpPr/>
      </xdr:nvGrpSpPr>
      <xdr:grpSpPr>
        <a:xfrm>
          <a:off x="6899075" y="19884099"/>
          <a:ext cx="182763" cy="225344"/>
          <a:chOff x="6572251" y="7477594"/>
          <a:chExt cx="223837" cy="280178"/>
        </a:xfrm>
      </xdr:grpSpPr>
      <xdr:sp macro="" textlink="">
        <xdr:nvSpPr>
          <xdr:cNvPr id="1017" name="Elipse 1016">
            <a:extLst>
              <a:ext uri="{FF2B5EF4-FFF2-40B4-BE49-F238E27FC236}">
                <a16:creationId xmlns:a16="http://schemas.microsoft.com/office/drawing/2014/main" id="{6F0F60E1-25A7-9C9D-39FF-B1D38822638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18" name="CaixaDeTexto 1017">
            <a:extLst>
              <a:ext uri="{FF2B5EF4-FFF2-40B4-BE49-F238E27FC236}">
                <a16:creationId xmlns:a16="http://schemas.microsoft.com/office/drawing/2014/main" id="{F46F2A32-D615-1819-2D59-4EF067AA3F3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89</xdr:row>
      <xdr:rowOff>208213</xdr:rowOff>
    </xdr:from>
    <xdr:to>
      <xdr:col>7</xdr:col>
      <xdr:colOff>205343</xdr:colOff>
      <xdr:row>90</xdr:row>
      <xdr:rowOff>210861</xdr:rowOff>
    </xdr:to>
    <xdr:grpSp>
      <xdr:nvGrpSpPr>
        <xdr:cNvPr id="1019" name="Agrupar 1018">
          <a:extLst>
            <a:ext uri="{FF2B5EF4-FFF2-40B4-BE49-F238E27FC236}">
              <a16:creationId xmlns:a16="http://schemas.microsoft.com/office/drawing/2014/main" id="{933DF401-FBD8-4B3A-A3A2-4AB16A328D72}"/>
            </a:ext>
          </a:extLst>
        </xdr:cNvPr>
        <xdr:cNvGrpSpPr/>
      </xdr:nvGrpSpPr>
      <xdr:grpSpPr>
        <a:xfrm>
          <a:off x="6379010" y="20097378"/>
          <a:ext cx="182763" cy="224496"/>
          <a:chOff x="6572251" y="7468545"/>
          <a:chExt cx="223837" cy="280178"/>
        </a:xfrm>
      </xdr:grpSpPr>
      <xdr:sp macro="" textlink="">
        <xdr:nvSpPr>
          <xdr:cNvPr id="1020" name="Elipse 1019">
            <a:extLst>
              <a:ext uri="{FF2B5EF4-FFF2-40B4-BE49-F238E27FC236}">
                <a16:creationId xmlns:a16="http://schemas.microsoft.com/office/drawing/2014/main" id="{70E7410A-6CA6-2180-384B-6DF4A2D5C24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21" name="CaixaDeTexto 1020">
            <a:extLst>
              <a:ext uri="{FF2B5EF4-FFF2-40B4-BE49-F238E27FC236}">
                <a16:creationId xmlns:a16="http://schemas.microsoft.com/office/drawing/2014/main" id="{734BF560-5431-3CCC-0EE8-4E5F9F1A1DC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89</xdr:row>
      <xdr:rowOff>216783</xdr:rowOff>
    </xdr:from>
    <xdr:to>
      <xdr:col>7</xdr:col>
      <xdr:colOff>725408</xdr:colOff>
      <xdr:row>90</xdr:row>
      <xdr:rowOff>220278</xdr:rowOff>
    </xdr:to>
    <xdr:grpSp>
      <xdr:nvGrpSpPr>
        <xdr:cNvPr id="1022" name="Agrupar 1021">
          <a:extLst>
            <a:ext uri="{FF2B5EF4-FFF2-40B4-BE49-F238E27FC236}">
              <a16:creationId xmlns:a16="http://schemas.microsoft.com/office/drawing/2014/main" id="{447201B0-DB42-4AB1-A83B-28B97BCCF4FE}"/>
            </a:ext>
          </a:extLst>
        </xdr:cNvPr>
        <xdr:cNvGrpSpPr/>
      </xdr:nvGrpSpPr>
      <xdr:grpSpPr>
        <a:xfrm>
          <a:off x="6899075" y="20105948"/>
          <a:ext cx="182763" cy="225343"/>
          <a:chOff x="6572251" y="7477594"/>
          <a:chExt cx="223837" cy="280178"/>
        </a:xfrm>
      </xdr:grpSpPr>
      <xdr:sp macro="" textlink="">
        <xdr:nvSpPr>
          <xdr:cNvPr id="1023" name="Elipse 1022">
            <a:extLst>
              <a:ext uri="{FF2B5EF4-FFF2-40B4-BE49-F238E27FC236}">
                <a16:creationId xmlns:a16="http://schemas.microsoft.com/office/drawing/2014/main" id="{DB52EF01-C834-6CD4-5DCE-8772F0F79B7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24" name="CaixaDeTexto 1023">
            <a:extLst>
              <a:ext uri="{FF2B5EF4-FFF2-40B4-BE49-F238E27FC236}">
                <a16:creationId xmlns:a16="http://schemas.microsoft.com/office/drawing/2014/main" id="{B733C18C-9B1B-8D68-A1F8-D02FD14BB58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90</xdr:row>
      <xdr:rowOff>208213</xdr:rowOff>
    </xdr:from>
    <xdr:to>
      <xdr:col>7</xdr:col>
      <xdr:colOff>205343</xdr:colOff>
      <xdr:row>91</xdr:row>
      <xdr:rowOff>210861</xdr:rowOff>
    </xdr:to>
    <xdr:grpSp>
      <xdr:nvGrpSpPr>
        <xdr:cNvPr id="1025" name="Agrupar 1024">
          <a:extLst>
            <a:ext uri="{FF2B5EF4-FFF2-40B4-BE49-F238E27FC236}">
              <a16:creationId xmlns:a16="http://schemas.microsoft.com/office/drawing/2014/main" id="{7ACBA3C3-2FF9-4BF0-AB75-48E1D870B2C1}"/>
            </a:ext>
          </a:extLst>
        </xdr:cNvPr>
        <xdr:cNvGrpSpPr/>
      </xdr:nvGrpSpPr>
      <xdr:grpSpPr>
        <a:xfrm>
          <a:off x="6379010" y="20319226"/>
          <a:ext cx="182763" cy="224496"/>
          <a:chOff x="6572251" y="7468545"/>
          <a:chExt cx="223837" cy="280178"/>
        </a:xfrm>
      </xdr:grpSpPr>
      <xdr:sp macro="" textlink="">
        <xdr:nvSpPr>
          <xdr:cNvPr id="1026" name="Elipse 1025">
            <a:extLst>
              <a:ext uri="{FF2B5EF4-FFF2-40B4-BE49-F238E27FC236}">
                <a16:creationId xmlns:a16="http://schemas.microsoft.com/office/drawing/2014/main" id="{BC8A9D21-9DA5-4FAE-A70D-1922A1FF8F8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27" name="CaixaDeTexto 1026">
            <a:extLst>
              <a:ext uri="{FF2B5EF4-FFF2-40B4-BE49-F238E27FC236}">
                <a16:creationId xmlns:a16="http://schemas.microsoft.com/office/drawing/2014/main" id="{B5999253-1B6D-3A0D-9EDF-CCB359E9504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90</xdr:row>
      <xdr:rowOff>216783</xdr:rowOff>
    </xdr:from>
    <xdr:to>
      <xdr:col>7</xdr:col>
      <xdr:colOff>725408</xdr:colOff>
      <xdr:row>91</xdr:row>
      <xdr:rowOff>220278</xdr:rowOff>
    </xdr:to>
    <xdr:grpSp>
      <xdr:nvGrpSpPr>
        <xdr:cNvPr id="1028" name="Agrupar 1027">
          <a:extLst>
            <a:ext uri="{FF2B5EF4-FFF2-40B4-BE49-F238E27FC236}">
              <a16:creationId xmlns:a16="http://schemas.microsoft.com/office/drawing/2014/main" id="{42ED0F49-1EA1-429A-ADEF-4F0C22D4E81E}"/>
            </a:ext>
          </a:extLst>
        </xdr:cNvPr>
        <xdr:cNvGrpSpPr/>
      </xdr:nvGrpSpPr>
      <xdr:grpSpPr>
        <a:xfrm>
          <a:off x="6899075" y="20327796"/>
          <a:ext cx="182763" cy="225343"/>
          <a:chOff x="6572251" y="7477594"/>
          <a:chExt cx="223837" cy="280178"/>
        </a:xfrm>
      </xdr:grpSpPr>
      <xdr:sp macro="" textlink="">
        <xdr:nvSpPr>
          <xdr:cNvPr id="1029" name="Elipse 1028">
            <a:extLst>
              <a:ext uri="{FF2B5EF4-FFF2-40B4-BE49-F238E27FC236}">
                <a16:creationId xmlns:a16="http://schemas.microsoft.com/office/drawing/2014/main" id="{BE77E733-7410-15F4-6029-F80EC8EA9EB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30" name="CaixaDeTexto 1029">
            <a:extLst>
              <a:ext uri="{FF2B5EF4-FFF2-40B4-BE49-F238E27FC236}">
                <a16:creationId xmlns:a16="http://schemas.microsoft.com/office/drawing/2014/main" id="{3B0AEB8F-6F50-4ACC-3DD9-D949FD7B508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87</xdr:row>
      <xdr:rowOff>208213</xdr:rowOff>
    </xdr:from>
    <xdr:to>
      <xdr:col>7</xdr:col>
      <xdr:colOff>205343</xdr:colOff>
      <xdr:row>88</xdr:row>
      <xdr:rowOff>210861</xdr:rowOff>
    </xdr:to>
    <xdr:grpSp>
      <xdr:nvGrpSpPr>
        <xdr:cNvPr id="1031" name="Agrupar 1030">
          <a:extLst>
            <a:ext uri="{FF2B5EF4-FFF2-40B4-BE49-F238E27FC236}">
              <a16:creationId xmlns:a16="http://schemas.microsoft.com/office/drawing/2014/main" id="{4D2DE73F-B2A5-433E-A084-4D927F0167DB}"/>
            </a:ext>
          </a:extLst>
        </xdr:cNvPr>
        <xdr:cNvGrpSpPr/>
      </xdr:nvGrpSpPr>
      <xdr:grpSpPr>
        <a:xfrm>
          <a:off x="6379010" y="19653681"/>
          <a:ext cx="182763" cy="224496"/>
          <a:chOff x="6572251" y="7468545"/>
          <a:chExt cx="223837" cy="280178"/>
        </a:xfrm>
      </xdr:grpSpPr>
      <xdr:sp macro="" textlink="">
        <xdr:nvSpPr>
          <xdr:cNvPr id="1032" name="Elipse 1031">
            <a:extLst>
              <a:ext uri="{FF2B5EF4-FFF2-40B4-BE49-F238E27FC236}">
                <a16:creationId xmlns:a16="http://schemas.microsoft.com/office/drawing/2014/main" id="{1A91FD38-5D4F-7943-DF6C-5BEFEBF6805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33" name="CaixaDeTexto 1032">
            <a:extLst>
              <a:ext uri="{FF2B5EF4-FFF2-40B4-BE49-F238E27FC236}">
                <a16:creationId xmlns:a16="http://schemas.microsoft.com/office/drawing/2014/main" id="{1B54E040-5B13-F239-63AE-EE9144C5AEB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87</xdr:row>
      <xdr:rowOff>216783</xdr:rowOff>
    </xdr:from>
    <xdr:to>
      <xdr:col>7</xdr:col>
      <xdr:colOff>725408</xdr:colOff>
      <xdr:row>88</xdr:row>
      <xdr:rowOff>220278</xdr:rowOff>
    </xdr:to>
    <xdr:grpSp>
      <xdr:nvGrpSpPr>
        <xdr:cNvPr id="1034" name="Agrupar 1033">
          <a:extLst>
            <a:ext uri="{FF2B5EF4-FFF2-40B4-BE49-F238E27FC236}">
              <a16:creationId xmlns:a16="http://schemas.microsoft.com/office/drawing/2014/main" id="{6BF023D3-CEDC-4DF6-A54D-AE78A0DC4AFF}"/>
            </a:ext>
          </a:extLst>
        </xdr:cNvPr>
        <xdr:cNvGrpSpPr/>
      </xdr:nvGrpSpPr>
      <xdr:grpSpPr>
        <a:xfrm>
          <a:off x="6899075" y="19662251"/>
          <a:ext cx="182763" cy="225343"/>
          <a:chOff x="6572251" y="7477594"/>
          <a:chExt cx="223837" cy="280178"/>
        </a:xfrm>
      </xdr:grpSpPr>
      <xdr:sp macro="" textlink="">
        <xdr:nvSpPr>
          <xdr:cNvPr id="1035" name="Elipse 1034">
            <a:extLst>
              <a:ext uri="{FF2B5EF4-FFF2-40B4-BE49-F238E27FC236}">
                <a16:creationId xmlns:a16="http://schemas.microsoft.com/office/drawing/2014/main" id="{0F8E15D7-F4E5-97A1-8124-6A6D73E6994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36" name="CaixaDeTexto 1035">
            <a:extLst>
              <a:ext uri="{FF2B5EF4-FFF2-40B4-BE49-F238E27FC236}">
                <a16:creationId xmlns:a16="http://schemas.microsoft.com/office/drawing/2014/main" id="{C7E9B093-E9B1-1C55-1D9E-978E3081F98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87</xdr:row>
      <xdr:rowOff>208213</xdr:rowOff>
    </xdr:from>
    <xdr:to>
      <xdr:col>7</xdr:col>
      <xdr:colOff>205343</xdr:colOff>
      <xdr:row>88</xdr:row>
      <xdr:rowOff>210861</xdr:rowOff>
    </xdr:to>
    <xdr:grpSp>
      <xdr:nvGrpSpPr>
        <xdr:cNvPr id="1037" name="Agrupar 1036">
          <a:extLst>
            <a:ext uri="{FF2B5EF4-FFF2-40B4-BE49-F238E27FC236}">
              <a16:creationId xmlns:a16="http://schemas.microsoft.com/office/drawing/2014/main" id="{50991502-31E8-40CD-BF0E-216969F89F44}"/>
            </a:ext>
          </a:extLst>
        </xdr:cNvPr>
        <xdr:cNvGrpSpPr/>
      </xdr:nvGrpSpPr>
      <xdr:grpSpPr>
        <a:xfrm>
          <a:off x="6379010" y="19653681"/>
          <a:ext cx="182763" cy="224496"/>
          <a:chOff x="6572251" y="7468545"/>
          <a:chExt cx="223837" cy="280178"/>
        </a:xfrm>
      </xdr:grpSpPr>
      <xdr:sp macro="" textlink="">
        <xdr:nvSpPr>
          <xdr:cNvPr id="1038" name="Elipse 1037">
            <a:extLst>
              <a:ext uri="{FF2B5EF4-FFF2-40B4-BE49-F238E27FC236}">
                <a16:creationId xmlns:a16="http://schemas.microsoft.com/office/drawing/2014/main" id="{F9309EDF-D66D-062F-6A95-4418F6F3634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39" name="CaixaDeTexto 1038">
            <a:extLst>
              <a:ext uri="{FF2B5EF4-FFF2-40B4-BE49-F238E27FC236}">
                <a16:creationId xmlns:a16="http://schemas.microsoft.com/office/drawing/2014/main" id="{1FB9205B-2856-86C2-D3BB-C7CDC9E8E73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87</xdr:row>
      <xdr:rowOff>216783</xdr:rowOff>
    </xdr:from>
    <xdr:to>
      <xdr:col>7</xdr:col>
      <xdr:colOff>725408</xdr:colOff>
      <xdr:row>88</xdr:row>
      <xdr:rowOff>220278</xdr:rowOff>
    </xdr:to>
    <xdr:grpSp>
      <xdr:nvGrpSpPr>
        <xdr:cNvPr id="1040" name="Agrupar 1039">
          <a:extLst>
            <a:ext uri="{FF2B5EF4-FFF2-40B4-BE49-F238E27FC236}">
              <a16:creationId xmlns:a16="http://schemas.microsoft.com/office/drawing/2014/main" id="{C3A8C6C1-A75D-4B6C-8BA3-6BCE978B663A}"/>
            </a:ext>
          </a:extLst>
        </xdr:cNvPr>
        <xdr:cNvGrpSpPr/>
      </xdr:nvGrpSpPr>
      <xdr:grpSpPr>
        <a:xfrm>
          <a:off x="6899075" y="19662251"/>
          <a:ext cx="182763" cy="225343"/>
          <a:chOff x="6572251" y="7477594"/>
          <a:chExt cx="223837" cy="280178"/>
        </a:xfrm>
      </xdr:grpSpPr>
      <xdr:sp macro="" textlink="">
        <xdr:nvSpPr>
          <xdr:cNvPr id="1041" name="Elipse 1040">
            <a:extLst>
              <a:ext uri="{FF2B5EF4-FFF2-40B4-BE49-F238E27FC236}">
                <a16:creationId xmlns:a16="http://schemas.microsoft.com/office/drawing/2014/main" id="{7106E2B5-0DB8-843C-7233-45161F9694B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42" name="CaixaDeTexto 1041">
            <a:extLst>
              <a:ext uri="{FF2B5EF4-FFF2-40B4-BE49-F238E27FC236}">
                <a16:creationId xmlns:a16="http://schemas.microsoft.com/office/drawing/2014/main" id="{14DACABC-422E-586C-02BA-37089E0F95D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86</xdr:row>
      <xdr:rowOff>208213</xdr:rowOff>
    </xdr:from>
    <xdr:to>
      <xdr:col>7</xdr:col>
      <xdr:colOff>205343</xdr:colOff>
      <xdr:row>87</xdr:row>
      <xdr:rowOff>210861</xdr:rowOff>
    </xdr:to>
    <xdr:grpSp>
      <xdr:nvGrpSpPr>
        <xdr:cNvPr id="1043" name="Agrupar 1042">
          <a:extLst>
            <a:ext uri="{FF2B5EF4-FFF2-40B4-BE49-F238E27FC236}">
              <a16:creationId xmlns:a16="http://schemas.microsoft.com/office/drawing/2014/main" id="{C763C86B-647C-4A2A-90FA-2460DEC732BB}"/>
            </a:ext>
          </a:extLst>
        </xdr:cNvPr>
        <xdr:cNvGrpSpPr/>
      </xdr:nvGrpSpPr>
      <xdr:grpSpPr>
        <a:xfrm>
          <a:off x="6379010" y="19431833"/>
          <a:ext cx="182763" cy="224496"/>
          <a:chOff x="6572251" y="7468545"/>
          <a:chExt cx="223837" cy="280178"/>
        </a:xfrm>
      </xdr:grpSpPr>
      <xdr:sp macro="" textlink="">
        <xdr:nvSpPr>
          <xdr:cNvPr id="1044" name="Elipse 1043">
            <a:extLst>
              <a:ext uri="{FF2B5EF4-FFF2-40B4-BE49-F238E27FC236}">
                <a16:creationId xmlns:a16="http://schemas.microsoft.com/office/drawing/2014/main" id="{2A345AA9-1CBA-E603-F0E9-93AA5442724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45" name="CaixaDeTexto 1044">
            <a:extLst>
              <a:ext uri="{FF2B5EF4-FFF2-40B4-BE49-F238E27FC236}">
                <a16:creationId xmlns:a16="http://schemas.microsoft.com/office/drawing/2014/main" id="{4FC8033A-6841-AE80-69AD-B4A2F34F71D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86</xdr:row>
      <xdr:rowOff>216783</xdr:rowOff>
    </xdr:from>
    <xdr:to>
      <xdr:col>7</xdr:col>
      <xdr:colOff>725408</xdr:colOff>
      <xdr:row>87</xdr:row>
      <xdr:rowOff>220278</xdr:rowOff>
    </xdr:to>
    <xdr:grpSp>
      <xdr:nvGrpSpPr>
        <xdr:cNvPr id="1046" name="Agrupar 1045">
          <a:extLst>
            <a:ext uri="{FF2B5EF4-FFF2-40B4-BE49-F238E27FC236}">
              <a16:creationId xmlns:a16="http://schemas.microsoft.com/office/drawing/2014/main" id="{8B96DFAF-AA7D-4A73-9D4B-E6F1C0B531C0}"/>
            </a:ext>
          </a:extLst>
        </xdr:cNvPr>
        <xdr:cNvGrpSpPr/>
      </xdr:nvGrpSpPr>
      <xdr:grpSpPr>
        <a:xfrm>
          <a:off x="6899075" y="19440403"/>
          <a:ext cx="182763" cy="225343"/>
          <a:chOff x="6572251" y="7477594"/>
          <a:chExt cx="223837" cy="280178"/>
        </a:xfrm>
      </xdr:grpSpPr>
      <xdr:sp macro="" textlink="">
        <xdr:nvSpPr>
          <xdr:cNvPr id="1047" name="Elipse 1046">
            <a:extLst>
              <a:ext uri="{FF2B5EF4-FFF2-40B4-BE49-F238E27FC236}">
                <a16:creationId xmlns:a16="http://schemas.microsoft.com/office/drawing/2014/main" id="{EFA85257-3F6A-2B63-E405-5528149BF9F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48" name="CaixaDeTexto 1047">
            <a:extLst>
              <a:ext uri="{FF2B5EF4-FFF2-40B4-BE49-F238E27FC236}">
                <a16:creationId xmlns:a16="http://schemas.microsoft.com/office/drawing/2014/main" id="{9C0F197F-BFD2-3E84-E552-16802F18A5C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91</xdr:row>
      <xdr:rowOff>208213</xdr:rowOff>
    </xdr:from>
    <xdr:to>
      <xdr:col>7</xdr:col>
      <xdr:colOff>205343</xdr:colOff>
      <xdr:row>92</xdr:row>
      <xdr:rowOff>210861</xdr:rowOff>
    </xdr:to>
    <xdr:grpSp>
      <xdr:nvGrpSpPr>
        <xdr:cNvPr id="1049" name="Agrupar 1048">
          <a:extLst>
            <a:ext uri="{FF2B5EF4-FFF2-40B4-BE49-F238E27FC236}">
              <a16:creationId xmlns:a16="http://schemas.microsoft.com/office/drawing/2014/main" id="{CE9B7974-1BAC-435A-8316-005F6D943554}"/>
            </a:ext>
          </a:extLst>
        </xdr:cNvPr>
        <xdr:cNvGrpSpPr/>
      </xdr:nvGrpSpPr>
      <xdr:grpSpPr>
        <a:xfrm>
          <a:off x="6379010" y="20541074"/>
          <a:ext cx="182763" cy="224496"/>
          <a:chOff x="6572251" y="7468545"/>
          <a:chExt cx="223837" cy="280178"/>
        </a:xfrm>
      </xdr:grpSpPr>
      <xdr:sp macro="" textlink="">
        <xdr:nvSpPr>
          <xdr:cNvPr id="1050" name="Elipse 1049">
            <a:extLst>
              <a:ext uri="{FF2B5EF4-FFF2-40B4-BE49-F238E27FC236}">
                <a16:creationId xmlns:a16="http://schemas.microsoft.com/office/drawing/2014/main" id="{B2A10B36-F8C2-E196-C4F5-D096AA1D545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51" name="CaixaDeTexto 1050">
            <a:extLst>
              <a:ext uri="{FF2B5EF4-FFF2-40B4-BE49-F238E27FC236}">
                <a16:creationId xmlns:a16="http://schemas.microsoft.com/office/drawing/2014/main" id="{DCCB1B50-973C-C3D3-9571-C0F52DB428E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91</xdr:row>
      <xdr:rowOff>216783</xdr:rowOff>
    </xdr:from>
    <xdr:to>
      <xdr:col>7</xdr:col>
      <xdr:colOff>725408</xdr:colOff>
      <xdr:row>92</xdr:row>
      <xdr:rowOff>220278</xdr:rowOff>
    </xdr:to>
    <xdr:grpSp>
      <xdr:nvGrpSpPr>
        <xdr:cNvPr id="1052" name="Agrupar 1051">
          <a:extLst>
            <a:ext uri="{FF2B5EF4-FFF2-40B4-BE49-F238E27FC236}">
              <a16:creationId xmlns:a16="http://schemas.microsoft.com/office/drawing/2014/main" id="{06C147DB-EDB4-48AB-AE6A-9AC5E533866F}"/>
            </a:ext>
          </a:extLst>
        </xdr:cNvPr>
        <xdr:cNvGrpSpPr/>
      </xdr:nvGrpSpPr>
      <xdr:grpSpPr>
        <a:xfrm>
          <a:off x="6899075" y="20549644"/>
          <a:ext cx="182763" cy="225343"/>
          <a:chOff x="6572251" y="7477594"/>
          <a:chExt cx="223837" cy="280178"/>
        </a:xfrm>
      </xdr:grpSpPr>
      <xdr:sp macro="" textlink="">
        <xdr:nvSpPr>
          <xdr:cNvPr id="1053" name="Elipse 1052">
            <a:extLst>
              <a:ext uri="{FF2B5EF4-FFF2-40B4-BE49-F238E27FC236}">
                <a16:creationId xmlns:a16="http://schemas.microsoft.com/office/drawing/2014/main" id="{3471EC0B-D20C-63EF-0BB6-99373857467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54" name="CaixaDeTexto 1053">
            <a:extLst>
              <a:ext uri="{FF2B5EF4-FFF2-40B4-BE49-F238E27FC236}">
                <a16:creationId xmlns:a16="http://schemas.microsoft.com/office/drawing/2014/main" id="{9D2A0035-E0BD-C112-2CA0-95215BDD942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92</xdr:row>
      <xdr:rowOff>208213</xdr:rowOff>
    </xdr:from>
    <xdr:to>
      <xdr:col>7</xdr:col>
      <xdr:colOff>205343</xdr:colOff>
      <xdr:row>93</xdr:row>
      <xdr:rowOff>210861</xdr:rowOff>
    </xdr:to>
    <xdr:grpSp>
      <xdr:nvGrpSpPr>
        <xdr:cNvPr id="1055" name="Agrupar 1054">
          <a:extLst>
            <a:ext uri="{FF2B5EF4-FFF2-40B4-BE49-F238E27FC236}">
              <a16:creationId xmlns:a16="http://schemas.microsoft.com/office/drawing/2014/main" id="{65219DC5-7AC9-47F0-8D8F-0EB7C161FBC0}"/>
            </a:ext>
          </a:extLst>
        </xdr:cNvPr>
        <xdr:cNvGrpSpPr/>
      </xdr:nvGrpSpPr>
      <xdr:grpSpPr>
        <a:xfrm>
          <a:off x="6379010" y="20762922"/>
          <a:ext cx="182763" cy="224496"/>
          <a:chOff x="6572251" y="7468545"/>
          <a:chExt cx="223837" cy="280178"/>
        </a:xfrm>
      </xdr:grpSpPr>
      <xdr:sp macro="" textlink="">
        <xdr:nvSpPr>
          <xdr:cNvPr id="1056" name="Elipse 1055">
            <a:extLst>
              <a:ext uri="{FF2B5EF4-FFF2-40B4-BE49-F238E27FC236}">
                <a16:creationId xmlns:a16="http://schemas.microsoft.com/office/drawing/2014/main" id="{2904C30C-2E76-2DA8-71A5-7A49A3DB8D9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57" name="CaixaDeTexto 1056">
            <a:extLst>
              <a:ext uri="{FF2B5EF4-FFF2-40B4-BE49-F238E27FC236}">
                <a16:creationId xmlns:a16="http://schemas.microsoft.com/office/drawing/2014/main" id="{CB2D1A82-2842-E34C-7868-657D8149D5FC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92</xdr:row>
      <xdr:rowOff>216783</xdr:rowOff>
    </xdr:from>
    <xdr:to>
      <xdr:col>7</xdr:col>
      <xdr:colOff>725408</xdr:colOff>
      <xdr:row>93</xdr:row>
      <xdr:rowOff>220278</xdr:rowOff>
    </xdr:to>
    <xdr:grpSp>
      <xdr:nvGrpSpPr>
        <xdr:cNvPr id="1058" name="Agrupar 1057">
          <a:extLst>
            <a:ext uri="{FF2B5EF4-FFF2-40B4-BE49-F238E27FC236}">
              <a16:creationId xmlns:a16="http://schemas.microsoft.com/office/drawing/2014/main" id="{DF3DD65C-23EE-406F-9212-0193E77566BD}"/>
            </a:ext>
          </a:extLst>
        </xdr:cNvPr>
        <xdr:cNvGrpSpPr/>
      </xdr:nvGrpSpPr>
      <xdr:grpSpPr>
        <a:xfrm>
          <a:off x="6899075" y="20771492"/>
          <a:ext cx="182763" cy="225343"/>
          <a:chOff x="6572251" y="7477594"/>
          <a:chExt cx="223837" cy="280178"/>
        </a:xfrm>
      </xdr:grpSpPr>
      <xdr:sp macro="" textlink="">
        <xdr:nvSpPr>
          <xdr:cNvPr id="1059" name="Elipse 1058">
            <a:extLst>
              <a:ext uri="{FF2B5EF4-FFF2-40B4-BE49-F238E27FC236}">
                <a16:creationId xmlns:a16="http://schemas.microsoft.com/office/drawing/2014/main" id="{FF069ABA-DCC6-96F0-84BA-60849962D6C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60" name="CaixaDeTexto 1059">
            <a:extLst>
              <a:ext uri="{FF2B5EF4-FFF2-40B4-BE49-F238E27FC236}">
                <a16:creationId xmlns:a16="http://schemas.microsoft.com/office/drawing/2014/main" id="{0DA13325-3C9E-550E-4C35-2A3B2287541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93</xdr:row>
      <xdr:rowOff>208213</xdr:rowOff>
    </xdr:from>
    <xdr:to>
      <xdr:col>7</xdr:col>
      <xdr:colOff>205343</xdr:colOff>
      <xdr:row>94</xdr:row>
      <xdr:rowOff>210861</xdr:rowOff>
    </xdr:to>
    <xdr:grpSp>
      <xdr:nvGrpSpPr>
        <xdr:cNvPr id="1061" name="Agrupar 1060">
          <a:extLst>
            <a:ext uri="{FF2B5EF4-FFF2-40B4-BE49-F238E27FC236}">
              <a16:creationId xmlns:a16="http://schemas.microsoft.com/office/drawing/2014/main" id="{62485D7C-1A2B-4668-A778-D58D32ED7D20}"/>
            </a:ext>
          </a:extLst>
        </xdr:cNvPr>
        <xdr:cNvGrpSpPr/>
      </xdr:nvGrpSpPr>
      <xdr:grpSpPr>
        <a:xfrm>
          <a:off x="6379010" y="20984770"/>
          <a:ext cx="182763" cy="224496"/>
          <a:chOff x="6572251" y="7468545"/>
          <a:chExt cx="223837" cy="280178"/>
        </a:xfrm>
      </xdr:grpSpPr>
      <xdr:sp macro="" textlink="">
        <xdr:nvSpPr>
          <xdr:cNvPr id="1062" name="Elipse 1061">
            <a:extLst>
              <a:ext uri="{FF2B5EF4-FFF2-40B4-BE49-F238E27FC236}">
                <a16:creationId xmlns:a16="http://schemas.microsoft.com/office/drawing/2014/main" id="{B214E925-8DD7-5BAB-F6CE-0AF7AF85010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63" name="CaixaDeTexto 1062">
            <a:extLst>
              <a:ext uri="{FF2B5EF4-FFF2-40B4-BE49-F238E27FC236}">
                <a16:creationId xmlns:a16="http://schemas.microsoft.com/office/drawing/2014/main" id="{1C3E4227-F190-D698-8CA5-ABBCB2D5F68C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93</xdr:row>
      <xdr:rowOff>216783</xdr:rowOff>
    </xdr:from>
    <xdr:to>
      <xdr:col>7</xdr:col>
      <xdr:colOff>725408</xdr:colOff>
      <xdr:row>94</xdr:row>
      <xdr:rowOff>220278</xdr:rowOff>
    </xdr:to>
    <xdr:grpSp>
      <xdr:nvGrpSpPr>
        <xdr:cNvPr id="1064" name="Agrupar 1063">
          <a:extLst>
            <a:ext uri="{FF2B5EF4-FFF2-40B4-BE49-F238E27FC236}">
              <a16:creationId xmlns:a16="http://schemas.microsoft.com/office/drawing/2014/main" id="{E4C2C816-6EDD-489D-9773-1332D912654E}"/>
            </a:ext>
          </a:extLst>
        </xdr:cNvPr>
        <xdr:cNvGrpSpPr/>
      </xdr:nvGrpSpPr>
      <xdr:grpSpPr>
        <a:xfrm>
          <a:off x="6899075" y="20993340"/>
          <a:ext cx="182763" cy="225343"/>
          <a:chOff x="6572251" y="7477594"/>
          <a:chExt cx="223837" cy="280178"/>
        </a:xfrm>
      </xdr:grpSpPr>
      <xdr:sp macro="" textlink="">
        <xdr:nvSpPr>
          <xdr:cNvPr id="1065" name="Elipse 1064">
            <a:extLst>
              <a:ext uri="{FF2B5EF4-FFF2-40B4-BE49-F238E27FC236}">
                <a16:creationId xmlns:a16="http://schemas.microsoft.com/office/drawing/2014/main" id="{17D53CD3-655A-FA1E-319A-DCD2A6F3D1C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66" name="CaixaDeTexto 1065">
            <a:extLst>
              <a:ext uri="{FF2B5EF4-FFF2-40B4-BE49-F238E27FC236}">
                <a16:creationId xmlns:a16="http://schemas.microsoft.com/office/drawing/2014/main" id="{925D99F3-DE62-6433-3157-299BBD3EB99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94</xdr:row>
      <xdr:rowOff>208213</xdr:rowOff>
    </xdr:from>
    <xdr:to>
      <xdr:col>7</xdr:col>
      <xdr:colOff>205343</xdr:colOff>
      <xdr:row>95</xdr:row>
      <xdr:rowOff>210861</xdr:rowOff>
    </xdr:to>
    <xdr:grpSp>
      <xdr:nvGrpSpPr>
        <xdr:cNvPr id="1067" name="Agrupar 1066">
          <a:extLst>
            <a:ext uri="{FF2B5EF4-FFF2-40B4-BE49-F238E27FC236}">
              <a16:creationId xmlns:a16="http://schemas.microsoft.com/office/drawing/2014/main" id="{51B925C9-E85F-4135-BB49-D8D6F4D3D024}"/>
            </a:ext>
          </a:extLst>
        </xdr:cNvPr>
        <xdr:cNvGrpSpPr/>
      </xdr:nvGrpSpPr>
      <xdr:grpSpPr>
        <a:xfrm>
          <a:off x="6379010" y="21206618"/>
          <a:ext cx="182763" cy="224496"/>
          <a:chOff x="6572251" y="7468545"/>
          <a:chExt cx="223837" cy="280178"/>
        </a:xfrm>
      </xdr:grpSpPr>
      <xdr:sp macro="" textlink="">
        <xdr:nvSpPr>
          <xdr:cNvPr id="1068" name="Elipse 1067">
            <a:extLst>
              <a:ext uri="{FF2B5EF4-FFF2-40B4-BE49-F238E27FC236}">
                <a16:creationId xmlns:a16="http://schemas.microsoft.com/office/drawing/2014/main" id="{29C63257-C47A-9BD4-F961-CC91EC34BDF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69" name="CaixaDeTexto 1068">
            <a:extLst>
              <a:ext uri="{FF2B5EF4-FFF2-40B4-BE49-F238E27FC236}">
                <a16:creationId xmlns:a16="http://schemas.microsoft.com/office/drawing/2014/main" id="{0E967660-EE9C-0BB5-2B03-DE0F4F06D6B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94</xdr:row>
      <xdr:rowOff>216783</xdr:rowOff>
    </xdr:from>
    <xdr:to>
      <xdr:col>7</xdr:col>
      <xdr:colOff>725408</xdr:colOff>
      <xdr:row>95</xdr:row>
      <xdr:rowOff>220278</xdr:rowOff>
    </xdr:to>
    <xdr:grpSp>
      <xdr:nvGrpSpPr>
        <xdr:cNvPr id="1070" name="Agrupar 1069">
          <a:extLst>
            <a:ext uri="{FF2B5EF4-FFF2-40B4-BE49-F238E27FC236}">
              <a16:creationId xmlns:a16="http://schemas.microsoft.com/office/drawing/2014/main" id="{3A2404A1-1AD9-4275-B0D4-C3B005CDCFDE}"/>
            </a:ext>
          </a:extLst>
        </xdr:cNvPr>
        <xdr:cNvGrpSpPr/>
      </xdr:nvGrpSpPr>
      <xdr:grpSpPr>
        <a:xfrm>
          <a:off x="6899075" y="21215188"/>
          <a:ext cx="182763" cy="225343"/>
          <a:chOff x="6572251" y="7477594"/>
          <a:chExt cx="223837" cy="280178"/>
        </a:xfrm>
      </xdr:grpSpPr>
      <xdr:sp macro="" textlink="">
        <xdr:nvSpPr>
          <xdr:cNvPr id="1071" name="Elipse 1070">
            <a:extLst>
              <a:ext uri="{FF2B5EF4-FFF2-40B4-BE49-F238E27FC236}">
                <a16:creationId xmlns:a16="http://schemas.microsoft.com/office/drawing/2014/main" id="{5963C7B6-2899-1D51-B219-1510A65AE06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72" name="CaixaDeTexto 1071">
            <a:extLst>
              <a:ext uri="{FF2B5EF4-FFF2-40B4-BE49-F238E27FC236}">
                <a16:creationId xmlns:a16="http://schemas.microsoft.com/office/drawing/2014/main" id="{A4D1B923-A539-7606-0D82-B50CD8A0F46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95</xdr:row>
      <xdr:rowOff>208213</xdr:rowOff>
    </xdr:from>
    <xdr:to>
      <xdr:col>7</xdr:col>
      <xdr:colOff>205343</xdr:colOff>
      <xdr:row>96</xdr:row>
      <xdr:rowOff>210861</xdr:rowOff>
    </xdr:to>
    <xdr:grpSp>
      <xdr:nvGrpSpPr>
        <xdr:cNvPr id="1073" name="Agrupar 1072">
          <a:extLst>
            <a:ext uri="{FF2B5EF4-FFF2-40B4-BE49-F238E27FC236}">
              <a16:creationId xmlns:a16="http://schemas.microsoft.com/office/drawing/2014/main" id="{06D12665-6644-4C9A-A66E-D1E85EEAA5D3}"/>
            </a:ext>
          </a:extLst>
        </xdr:cNvPr>
        <xdr:cNvGrpSpPr/>
      </xdr:nvGrpSpPr>
      <xdr:grpSpPr>
        <a:xfrm>
          <a:off x="6379010" y="21428466"/>
          <a:ext cx="182763" cy="224496"/>
          <a:chOff x="6572251" y="7468545"/>
          <a:chExt cx="223837" cy="280178"/>
        </a:xfrm>
      </xdr:grpSpPr>
      <xdr:sp macro="" textlink="">
        <xdr:nvSpPr>
          <xdr:cNvPr id="1074" name="Elipse 1073">
            <a:extLst>
              <a:ext uri="{FF2B5EF4-FFF2-40B4-BE49-F238E27FC236}">
                <a16:creationId xmlns:a16="http://schemas.microsoft.com/office/drawing/2014/main" id="{9B03B792-5CB3-694D-4387-1D86A96F7C4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75" name="CaixaDeTexto 1074">
            <a:extLst>
              <a:ext uri="{FF2B5EF4-FFF2-40B4-BE49-F238E27FC236}">
                <a16:creationId xmlns:a16="http://schemas.microsoft.com/office/drawing/2014/main" id="{7ABF3B4D-7847-4B1B-5A8C-3D519686CE6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95</xdr:row>
      <xdr:rowOff>216783</xdr:rowOff>
    </xdr:from>
    <xdr:to>
      <xdr:col>7</xdr:col>
      <xdr:colOff>725408</xdr:colOff>
      <xdr:row>96</xdr:row>
      <xdr:rowOff>220278</xdr:rowOff>
    </xdr:to>
    <xdr:grpSp>
      <xdr:nvGrpSpPr>
        <xdr:cNvPr id="1076" name="Agrupar 1075">
          <a:extLst>
            <a:ext uri="{FF2B5EF4-FFF2-40B4-BE49-F238E27FC236}">
              <a16:creationId xmlns:a16="http://schemas.microsoft.com/office/drawing/2014/main" id="{402E567F-0EE5-40CD-B301-B2E9B8BD5DE7}"/>
            </a:ext>
          </a:extLst>
        </xdr:cNvPr>
        <xdr:cNvGrpSpPr/>
      </xdr:nvGrpSpPr>
      <xdr:grpSpPr>
        <a:xfrm>
          <a:off x="6899075" y="21437036"/>
          <a:ext cx="182763" cy="225343"/>
          <a:chOff x="6572251" y="7477594"/>
          <a:chExt cx="223837" cy="280178"/>
        </a:xfrm>
      </xdr:grpSpPr>
      <xdr:sp macro="" textlink="">
        <xdr:nvSpPr>
          <xdr:cNvPr id="1077" name="Elipse 1076">
            <a:extLst>
              <a:ext uri="{FF2B5EF4-FFF2-40B4-BE49-F238E27FC236}">
                <a16:creationId xmlns:a16="http://schemas.microsoft.com/office/drawing/2014/main" id="{0D857D87-BB87-2550-D52B-82D4A8EA88B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78" name="CaixaDeTexto 1077">
            <a:extLst>
              <a:ext uri="{FF2B5EF4-FFF2-40B4-BE49-F238E27FC236}">
                <a16:creationId xmlns:a16="http://schemas.microsoft.com/office/drawing/2014/main" id="{B4B09840-0575-8F72-3BF1-F7F1C4316D6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96</xdr:row>
      <xdr:rowOff>208213</xdr:rowOff>
    </xdr:from>
    <xdr:to>
      <xdr:col>7</xdr:col>
      <xdr:colOff>205343</xdr:colOff>
      <xdr:row>97</xdr:row>
      <xdr:rowOff>210861</xdr:rowOff>
    </xdr:to>
    <xdr:grpSp>
      <xdr:nvGrpSpPr>
        <xdr:cNvPr id="1079" name="Agrupar 1078">
          <a:extLst>
            <a:ext uri="{FF2B5EF4-FFF2-40B4-BE49-F238E27FC236}">
              <a16:creationId xmlns:a16="http://schemas.microsoft.com/office/drawing/2014/main" id="{38784028-C66F-4E6D-8F61-589C72B9CDE5}"/>
            </a:ext>
          </a:extLst>
        </xdr:cNvPr>
        <xdr:cNvGrpSpPr/>
      </xdr:nvGrpSpPr>
      <xdr:grpSpPr>
        <a:xfrm>
          <a:off x="6379010" y="21650314"/>
          <a:ext cx="182763" cy="224496"/>
          <a:chOff x="6572251" y="7468545"/>
          <a:chExt cx="223837" cy="280178"/>
        </a:xfrm>
      </xdr:grpSpPr>
      <xdr:sp macro="" textlink="">
        <xdr:nvSpPr>
          <xdr:cNvPr id="1080" name="Elipse 1079">
            <a:extLst>
              <a:ext uri="{FF2B5EF4-FFF2-40B4-BE49-F238E27FC236}">
                <a16:creationId xmlns:a16="http://schemas.microsoft.com/office/drawing/2014/main" id="{5C20E768-9D1B-57F4-88B4-E1048B0BEB8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81" name="CaixaDeTexto 1080">
            <a:extLst>
              <a:ext uri="{FF2B5EF4-FFF2-40B4-BE49-F238E27FC236}">
                <a16:creationId xmlns:a16="http://schemas.microsoft.com/office/drawing/2014/main" id="{98A2160B-E4B3-FBB7-B267-F2D8B4A505A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96</xdr:row>
      <xdr:rowOff>216783</xdr:rowOff>
    </xdr:from>
    <xdr:to>
      <xdr:col>7</xdr:col>
      <xdr:colOff>725408</xdr:colOff>
      <xdr:row>97</xdr:row>
      <xdr:rowOff>220278</xdr:rowOff>
    </xdr:to>
    <xdr:grpSp>
      <xdr:nvGrpSpPr>
        <xdr:cNvPr id="1082" name="Agrupar 1081">
          <a:extLst>
            <a:ext uri="{FF2B5EF4-FFF2-40B4-BE49-F238E27FC236}">
              <a16:creationId xmlns:a16="http://schemas.microsoft.com/office/drawing/2014/main" id="{DE52F768-F261-4E9B-8690-A463DCF991BA}"/>
            </a:ext>
          </a:extLst>
        </xdr:cNvPr>
        <xdr:cNvGrpSpPr/>
      </xdr:nvGrpSpPr>
      <xdr:grpSpPr>
        <a:xfrm>
          <a:off x="6899075" y="21658884"/>
          <a:ext cx="182763" cy="225343"/>
          <a:chOff x="6572251" y="7477594"/>
          <a:chExt cx="223837" cy="280178"/>
        </a:xfrm>
      </xdr:grpSpPr>
      <xdr:sp macro="" textlink="">
        <xdr:nvSpPr>
          <xdr:cNvPr id="1083" name="Elipse 1082">
            <a:extLst>
              <a:ext uri="{FF2B5EF4-FFF2-40B4-BE49-F238E27FC236}">
                <a16:creationId xmlns:a16="http://schemas.microsoft.com/office/drawing/2014/main" id="{D1B8AB9F-3213-541C-D8DD-26005079B15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84" name="CaixaDeTexto 1083">
            <a:extLst>
              <a:ext uri="{FF2B5EF4-FFF2-40B4-BE49-F238E27FC236}">
                <a16:creationId xmlns:a16="http://schemas.microsoft.com/office/drawing/2014/main" id="{C1967379-B996-F46E-D192-DCFA1906B20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97</xdr:row>
      <xdr:rowOff>208213</xdr:rowOff>
    </xdr:from>
    <xdr:to>
      <xdr:col>7</xdr:col>
      <xdr:colOff>205343</xdr:colOff>
      <xdr:row>98</xdr:row>
      <xdr:rowOff>210861</xdr:rowOff>
    </xdr:to>
    <xdr:grpSp>
      <xdr:nvGrpSpPr>
        <xdr:cNvPr id="1085" name="Agrupar 1084">
          <a:extLst>
            <a:ext uri="{FF2B5EF4-FFF2-40B4-BE49-F238E27FC236}">
              <a16:creationId xmlns:a16="http://schemas.microsoft.com/office/drawing/2014/main" id="{B8DBC9EC-5D25-4036-82F1-A1700E3185E6}"/>
            </a:ext>
          </a:extLst>
        </xdr:cNvPr>
        <xdr:cNvGrpSpPr/>
      </xdr:nvGrpSpPr>
      <xdr:grpSpPr>
        <a:xfrm>
          <a:off x="6379010" y="21872162"/>
          <a:ext cx="182763" cy="224496"/>
          <a:chOff x="6572251" y="7468545"/>
          <a:chExt cx="223837" cy="280178"/>
        </a:xfrm>
      </xdr:grpSpPr>
      <xdr:sp macro="" textlink="">
        <xdr:nvSpPr>
          <xdr:cNvPr id="1086" name="Elipse 1085">
            <a:extLst>
              <a:ext uri="{FF2B5EF4-FFF2-40B4-BE49-F238E27FC236}">
                <a16:creationId xmlns:a16="http://schemas.microsoft.com/office/drawing/2014/main" id="{D50318F5-7DA1-8873-F463-1982BD99952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87" name="CaixaDeTexto 1086">
            <a:extLst>
              <a:ext uri="{FF2B5EF4-FFF2-40B4-BE49-F238E27FC236}">
                <a16:creationId xmlns:a16="http://schemas.microsoft.com/office/drawing/2014/main" id="{E690A14C-A7F3-BEB5-38F2-624738811DF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97</xdr:row>
      <xdr:rowOff>216783</xdr:rowOff>
    </xdr:from>
    <xdr:to>
      <xdr:col>7</xdr:col>
      <xdr:colOff>725408</xdr:colOff>
      <xdr:row>99</xdr:row>
      <xdr:rowOff>2563</xdr:rowOff>
    </xdr:to>
    <xdr:grpSp>
      <xdr:nvGrpSpPr>
        <xdr:cNvPr id="1088" name="Agrupar 1087">
          <a:extLst>
            <a:ext uri="{FF2B5EF4-FFF2-40B4-BE49-F238E27FC236}">
              <a16:creationId xmlns:a16="http://schemas.microsoft.com/office/drawing/2014/main" id="{1016C36A-66CE-4E84-A30E-09DDCBEE4EE5}"/>
            </a:ext>
          </a:extLst>
        </xdr:cNvPr>
        <xdr:cNvGrpSpPr/>
      </xdr:nvGrpSpPr>
      <xdr:grpSpPr>
        <a:xfrm>
          <a:off x="6899075" y="21880732"/>
          <a:ext cx="182763" cy="229477"/>
          <a:chOff x="6572251" y="7477594"/>
          <a:chExt cx="223837" cy="280178"/>
        </a:xfrm>
      </xdr:grpSpPr>
      <xdr:sp macro="" textlink="">
        <xdr:nvSpPr>
          <xdr:cNvPr id="1089" name="Elipse 1088">
            <a:extLst>
              <a:ext uri="{FF2B5EF4-FFF2-40B4-BE49-F238E27FC236}">
                <a16:creationId xmlns:a16="http://schemas.microsoft.com/office/drawing/2014/main" id="{54854DB5-9E56-CE21-2EE9-5DDD8621FDC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90" name="CaixaDeTexto 1089">
            <a:extLst>
              <a:ext uri="{FF2B5EF4-FFF2-40B4-BE49-F238E27FC236}">
                <a16:creationId xmlns:a16="http://schemas.microsoft.com/office/drawing/2014/main" id="{D3EC55F4-5FCD-BAC4-2898-D554E971E5E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98</xdr:row>
      <xdr:rowOff>208213</xdr:rowOff>
    </xdr:from>
    <xdr:to>
      <xdr:col>7</xdr:col>
      <xdr:colOff>205343</xdr:colOff>
      <xdr:row>99</xdr:row>
      <xdr:rowOff>210861</xdr:rowOff>
    </xdr:to>
    <xdr:grpSp>
      <xdr:nvGrpSpPr>
        <xdr:cNvPr id="1091" name="Agrupar 1090">
          <a:extLst>
            <a:ext uri="{FF2B5EF4-FFF2-40B4-BE49-F238E27FC236}">
              <a16:creationId xmlns:a16="http://schemas.microsoft.com/office/drawing/2014/main" id="{A770BF62-FEFC-4762-AD51-5DF3C7128B02}"/>
            </a:ext>
          </a:extLst>
        </xdr:cNvPr>
        <xdr:cNvGrpSpPr/>
      </xdr:nvGrpSpPr>
      <xdr:grpSpPr>
        <a:xfrm>
          <a:off x="6379010" y="22094010"/>
          <a:ext cx="182763" cy="224497"/>
          <a:chOff x="6572251" y="7468545"/>
          <a:chExt cx="223837" cy="280178"/>
        </a:xfrm>
      </xdr:grpSpPr>
      <xdr:sp macro="" textlink="">
        <xdr:nvSpPr>
          <xdr:cNvPr id="1092" name="Elipse 1091">
            <a:extLst>
              <a:ext uri="{FF2B5EF4-FFF2-40B4-BE49-F238E27FC236}">
                <a16:creationId xmlns:a16="http://schemas.microsoft.com/office/drawing/2014/main" id="{5F5B457D-E090-6612-97C4-3467EC390FA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93" name="CaixaDeTexto 1092">
            <a:extLst>
              <a:ext uri="{FF2B5EF4-FFF2-40B4-BE49-F238E27FC236}">
                <a16:creationId xmlns:a16="http://schemas.microsoft.com/office/drawing/2014/main" id="{D0326AED-CA79-D2F6-6BE9-BD39E8554F7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98</xdr:row>
      <xdr:rowOff>216783</xdr:rowOff>
    </xdr:from>
    <xdr:to>
      <xdr:col>7</xdr:col>
      <xdr:colOff>725408</xdr:colOff>
      <xdr:row>100</xdr:row>
      <xdr:rowOff>2564</xdr:rowOff>
    </xdr:to>
    <xdr:grpSp>
      <xdr:nvGrpSpPr>
        <xdr:cNvPr id="1094" name="Agrupar 1093">
          <a:extLst>
            <a:ext uri="{FF2B5EF4-FFF2-40B4-BE49-F238E27FC236}">
              <a16:creationId xmlns:a16="http://schemas.microsoft.com/office/drawing/2014/main" id="{EC0904FD-7F78-4249-AC33-73722597392D}"/>
            </a:ext>
          </a:extLst>
        </xdr:cNvPr>
        <xdr:cNvGrpSpPr/>
      </xdr:nvGrpSpPr>
      <xdr:grpSpPr>
        <a:xfrm>
          <a:off x="6899075" y="22102580"/>
          <a:ext cx="182763" cy="229478"/>
          <a:chOff x="6572251" y="7477594"/>
          <a:chExt cx="223837" cy="280178"/>
        </a:xfrm>
      </xdr:grpSpPr>
      <xdr:sp macro="" textlink="">
        <xdr:nvSpPr>
          <xdr:cNvPr id="1095" name="Elipse 1094">
            <a:extLst>
              <a:ext uri="{FF2B5EF4-FFF2-40B4-BE49-F238E27FC236}">
                <a16:creationId xmlns:a16="http://schemas.microsoft.com/office/drawing/2014/main" id="{C773625A-A705-E528-08E8-01FCA823163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96" name="CaixaDeTexto 1095">
            <a:extLst>
              <a:ext uri="{FF2B5EF4-FFF2-40B4-BE49-F238E27FC236}">
                <a16:creationId xmlns:a16="http://schemas.microsoft.com/office/drawing/2014/main" id="{3B8D773E-2943-B666-61F6-DE98FC321AC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99</xdr:row>
      <xdr:rowOff>208213</xdr:rowOff>
    </xdr:from>
    <xdr:to>
      <xdr:col>7</xdr:col>
      <xdr:colOff>205343</xdr:colOff>
      <xdr:row>100</xdr:row>
      <xdr:rowOff>210861</xdr:rowOff>
    </xdr:to>
    <xdr:grpSp>
      <xdr:nvGrpSpPr>
        <xdr:cNvPr id="1097" name="Agrupar 1096">
          <a:extLst>
            <a:ext uri="{FF2B5EF4-FFF2-40B4-BE49-F238E27FC236}">
              <a16:creationId xmlns:a16="http://schemas.microsoft.com/office/drawing/2014/main" id="{2A0D5350-AC2D-40A2-A76B-D893EA9744C4}"/>
            </a:ext>
          </a:extLst>
        </xdr:cNvPr>
        <xdr:cNvGrpSpPr/>
      </xdr:nvGrpSpPr>
      <xdr:grpSpPr>
        <a:xfrm>
          <a:off x="6379010" y="22315859"/>
          <a:ext cx="182763" cy="224496"/>
          <a:chOff x="6572251" y="7468545"/>
          <a:chExt cx="223837" cy="280178"/>
        </a:xfrm>
      </xdr:grpSpPr>
      <xdr:sp macro="" textlink="">
        <xdr:nvSpPr>
          <xdr:cNvPr id="1098" name="Elipse 1097">
            <a:extLst>
              <a:ext uri="{FF2B5EF4-FFF2-40B4-BE49-F238E27FC236}">
                <a16:creationId xmlns:a16="http://schemas.microsoft.com/office/drawing/2014/main" id="{0061945F-9652-775C-4889-AAC46A4511F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99" name="CaixaDeTexto 1098">
            <a:extLst>
              <a:ext uri="{FF2B5EF4-FFF2-40B4-BE49-F238E27FC236}">
                <a16:creationId xmlns:a16="http://schemas.microsoft.com/office/drawing/2014/main" id="{A15507E3-2CC1-E9A0-EC15-E875A8C2857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99</xdr:row>
      <xdr:rowOff>216783</xdr:rowOff>
    </xdr:from>
    <xdr:to>
      <xdr:col>7</xdr:col>
      <xdr:colOff>725408</xdr:colOff>
      <xdr:row>101</xdr:row>
      <xdr:rowOff>2564</xdr:rowOff>
    </xdr:to>
    <xdr:grpSp>
      <xdr:nvGrpSpPr>
        <xdr:cNvPr id="1100" name="Agrupar 1099">
          <a:extLst>
            <a:ext uri="{FF2B5EF4-FFF2-40B4-BE49-F238E27FC236}">
              <a16:creationId xmlns:a16="http://schemas.microsoft.com/office/drawing/2014/main" id="{17EB42DA-3D98-48DD-8E1E-E4F871DE5E74}"/>
            </a:ext>
          </a:extLst>
        </xdr:cNvPr>
        <xdr:cNvGrpSpPr/>
      </xdr:nvGrpSpPr>
      <xdr:grpSpPr>
        <a:xfrm>
          <a:off x="6899075" y="22324429"/>
          <a:ext cx="182763" cy="229477"/>
          <a:chOff x="6572251" y="7477594"/>
          <a:chExt cx="223837" cy="280178"/>
        </a:xfrm>
      </xdr:grpSpPr>
      <xdr:sp macro="" textlink="">
        <xdr:nvSpPr>
          <xdr:cNvPr id="1101" name="Elipse 1100">
            <a:extLst>
              <a:ext uri="{FF2B5EF4-FFF2-40B4-BE49-F238E27FC236}">
                <a16:creationId xmlns:a16="http://schemas.microsoft.com/office/drawing/2014/main" id="{8478D802-3316-15C0-535A-DDA7BFFB7CF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02" name="CaixaDeTexto 1101">
            <a:extLst>
              <a:ext uri="{FF2B5EF4-FFF2-40B4-BE49-F238E27FC236}">
                <a16:creationId xmlns:a16="http://schemas.microsoft.com/office/drawing/2014/main" id="{311716D8-25B5-2A6A-4EFE-46554177ABC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100</xdr:row>
      <xdr:rowOff>208213</xdr:rowOff>
    </xdr:from>
    <xdr:to>
      <xdr:col>7</xdr:col>
      <xdr:colOff>205343</xdr:colOff>
      <xdr:row>101</xdr:row>
      <xdr:rowOff>210861</xdr:rowOff>
    </xdr:to>
    <xdr:grpSp>
      <xdr:nvGrpSpPr>
        <xdr:cNvPr id="1103" name="Agrupar 1102">
          <a:extLst>
            <a:ext uri="{FF2B5EF4-FFF2-40B4-BE49-F238E27FC236}">
              <a16:creationId xmlns:a16="http://schemas.microsoft.com/office/drawing/2014/main" id="{E991C09D-010B-43EB-BBC3-7E5BDC9270FF}"/>
            </a:ext>
          </a:extLst>
        </xdr:cNvPr>
        <xdr:cNvGrpSpPr/>
      </xdr:nvGrpSpPr>
      <xdr:grpSpPr>
        <a:xfrm>
          <a:off x="6379010" y="22537707"/>
          <a:ext cx="182763" cy="224496"/>
          <a:chOff x="6572251" y="7468545"/>
          <a:chExt cx="223837" cy="280178"/>
        </a:xfrm>
      </xdr:grpSpPr>
      <xdr:sp macro="" textlink="">
        <xdr:nvSpPr>
          <xdr:cNvPr id="1104" name="Elipse 1103">
            <a:extLst>
              <a:ext uri="{FF2B5EF4-FFF2-40B4-BE49-F238E27FC236}">
                <a16:creationId xmlns:a16="http://schemas.microsoft.com/office/drawing/2014/main" id="{B155E706-28EA-ABE9-D003-4CF77586C31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05" name="CaixaDeTexto 1104">
            <a:extLst>
              <a:ext uri="{FF2B5EF4-FFF2-40B4-BE49-F238E27FC236}">
                <a16:creationId xmlns:a16="http://schemas.microsoft.com/office/drawing/2014/main" id="{470D43D4-7C3B-1451-A88A-2BF15D8C509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100</xdr:row>
      <xdr:rowOff>216783</xdr:rowOff>
    </xdr:from>
    <xdr:to>
      <xdr:col>7</xdr:col>
      <xdr:colOff>725408</xdr:colOff>
      <xdr:row>102</xdr:row>
      <xdr:rowOff>2564</xdr:rowOff>
    </xdr:to>
    <xdr:grpSp>
      <xdr:nvGrpSpPr>
        <xdr:cNvPr id="1106" name="Agrupar 1105">
          <a:extLst>
            <a:ext uri="{FF2B5EF4-FFF2-40B4-BE49-F238E27FC236}">
              <a16:creationId xmlns:a16="http://schemas.microsoft.com/office/drawing/2014/main" id="{6086BD8B-79CE-4AC3-BBC5-3FDB1CE97425}"/>
            </a:ext>
          </a:extLst>
        </xdr:cNvPr>
        <xdr:cNvGrpSpPr/>
      </xdr:nvGrpSpPr>
      <xdr:grpSpPr>
        <a:xfrm>
          <a:off x="6899075" y="22546277"/>
          <a:ext cx="182763" cy="229477"/>
          <a:chOff x="6572251" y="7477594"/>
          <a:chExt cx="223837" cy="280178"/>
        </a:xfrm>
      </xdr:grpSpPr>
      <xdr:sp macro="" textlink="">
        <xdr:nvSpPr>
          <xdr:cNvPr id="1107" name="Elipse 1106">
            <a:extLst>
              <a:ext uri="{FF2B5EF4-FFF2-40B4-BE49-F238E27FC236}">
                <a16:creationId xmlns:a16="http://schemas.microsoft.com/office/drawing/2014/main" id="{04A3742F-0B89-903F-8957-A634264ECCA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08" name="CaixaDeTexto 1107">
            <a:extLst>
              <a:ext uri="{FF2B5EF4-FFF2-40B4-BE49-F238E27FC236}">
                <a16:creationId xmlns:a16="http://schemas.microsoft.com/office/drawing/2014/main" id="{00E8CA2C-64BD-AC9D-3FBA-7671CEF8496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101</xdr:row>
      <xdr:rowOff>208213</xdr:rowOff>
    </xdr:from>
    <xdr:to>
      <xdr:col>7</xdr:col>
      <xdr:colOff>205343</xdr:colOff>
      <xdr:row>102</xdr:row>
      <xdr:rowOff>210861</xdr:rowOff>
    </xdr:to>
    <xdr:grpSp>
      <xdr:nvGrpSpPr>
        <xdr:cNvPr id="1112" name="Agrupar 1111">
          <a:extLst>
            <a:ext uri="{FF2B5EF4-FFF2-40B4-BE49-F238E27FC236}">
              <a16:creationId xmlns:a16="http://schemas.microsoft.com/office/drawing/2014/main" id="{A064A5CE-C54B-4062-B492-9C2BF824C31D}"/>
            </a:ext>
          </a:extLst>
        </xdr:cNvPr>
        <xdr:cNvGrpSpPr/>
      </xdr:nvGrpSpPr>
      <xdr:grpSpPr>
        <a:xfrm>
          <a:off x="6379010" y="22759555"/>
          <a:ext cx="182763" cy="224496"/>
          <a:chOff x="6572251" y="7468545"/>
          <a:chExt cx="223837" cy="280178"/>
        </a:xfrm>
      </xdr:grpSpPr>
      <xdr:sp macro="" textlink="">
        <xdr:nvSpPr>
          <xdr:cNvPr id="1113" name="Elipse 1112">
            <a:extLst>
              <a:ext uri="{FF2B5EF4-FFF2-40B4-BE49-F238E27FC236}">
                <a16:creationId xmlns:a16="http://schemas.microsoft.com/office/drawing/2014/main" id="{A9165479-8A99-147B-D130-18AB45A53ED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14" name="CaixaDeTexto 1113">
            <a:extLst>
              <a:ext uri="{FF2B5EF4-FFF2-40B4-BE49-F238E27FC236}">
                <a16:creationId xmlns:a16="http://schemas.microsoft.com/office/drawing/2014/main" id="{ABAD741D-DFA8-9855-488F-77D97C35A7F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101</xdr:row>
      <xdr:rowOff>216783</xdr:rowOff>
    </xdr:from>
    <xdr:to>
      <xdr:col>7</xdr:col>
      <xdr:colOff>725408</xdr:colOff>
      <xdr:row>103</xdr:row>
      <xdr:rowOff>2563</xdr:rowOff>
    </xdr:to>
    <xdr:grpSp>
      <xdr:nvGrpSpPr>
        <xdr:cNvPr id="1115" name="Agrupar 1114">
          <a:extLst>
            <a:ext uri="{FF2B5EF4-FFF2-40B4-BE49-F238E27FC236}">
              <a16:creationId xmlns:a16="http://schemas.microsoft.com/office/drawing/2014/main" id="{D0261188-3D05-4A47-A2C4-6733AD7A6BA1}"/>
            </a:ext>
          </a:extLst>
        </xdr:cNvPr>
        <xdr:cNvGrpSpPr/>
      </xdr:nvGrpSpPr>
      <xdr:grpSpPr>
        <a:xfrm>
          <a:off x="6899075" y="22768125"/>
          <a:ext cx="182763" cy="229476"/>
          <a:chOff x="6572251" y="7477594"/>
          <a:chExt cx="223837" cy="280178"/>
        </a:xfrm>
      </xdr:grpSpPr>
      <xdr:sp macro="" textlink="">
        <xdr:nvSpPr>
          <xdr:cNvPr id="1116" name="Elipse 1115">
            <a:extLst>
              <a:ext uri="{FF2B5EF4-FFF2-40B4-BE49-F238E27FC236}">
                <a16:creationId xmlns:a16="http://schemas.microsoft.com/office/drawing/2014/main" id="{C9E0537D-BD26-40FF-019D-03E96F3FEAF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17" name="CaixaDeTexto 1116">
            <a:extLst>
              <a:ext uri="{FF2B5EF4-FFF2-40B4-BE49-F238E27FC236}">
                <a16:creationId xmlns:a16="http://schemas.microsoft.com/office/drawing/2014/main" id="{8BCDDA70-9621-9B05-467D-53EAD5C5A29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102</xdr:row>
      <xdr:rowOff>208213</xdr:rowOff>
    </xdr:from>
    <xdr:to>
      <xdr:col>7</xdr:col>
      <xdr:colOff>205343</xdr:colOff>
      <xdr:row>103</xdr:row>
      <xdr:rowOff>210861</xdr:rowOff>
    </xdr:to>
    <xdr:grpSp>
      <xdr:nvGrpSpPr>
        <xdr:cNvPr id="1118" name="Agrupar 1117">
          <a:extLst>
            <a:ext uri="{FF2B5EF4-FFF2-40B4-BE49-F238E27FC236}">
              <a16:creationId xmlns:a16="http://schemas.microsoft.com/office/drawing/2014/main" id="{0BA596AD-C094-41F6-A71E-FC6F497BC06E}"/>
            </a:ext>
          </a:extLst>
        </xdr:cNvPr>
        <xdr:cNvGrpSpPr/>
      </xdr:nvGrpSpPr>
      <xdr:grpSpPr>
        <a:xfrm>
          <a:off x="6379010" y="22981403"/>
          <a:ext cx="182763" cy="224496"/>
          <a:chOff x="6572251" y="7468545"/>
          <a:chExt cx="223837" cy="280178"/>
        </a:xfrm>
      </xdr:grpSpPr>
      <xdr:sp macro="" textlink="">
        <xdr:nvSpPr>
          <xdr:cNvPr id="1119" name="Elipse 1118">
            <a:extLst>
              <a:ext uri="{FF2B5EF4-FFF2-40B4-BE49-F238E27FC236}">
                <a16:creationId xmlns:a16="http://schemas.microsoft.com/office/drawing/2014/main" id="{94B123A9-FAC8-0B78-E725-ACC472300AF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20" name="CaixaDeTexto 1119">
            <a:extLst>
              <a:ext uri="{FF2B5EF4-FFF2-40B4-BE49-F238E27FC236}">
                <a16:creationId xmlns:a16="http://schemas.microsoft.com/office/drawing/2014/main" id="{1002EF65-CE6E-6FA8-AC01-02075B8F07D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102</xdr:row>
      <xdr:rowOff>216783</xdr:rowOff>
    </xdr:from>
    <xdr:to>
      <xdr:col>7</xdr:col>
      <xdr:colOff>725408</xdr:colOff>
      <xdr:row>104</xdr:row>
      <xdr:rowOff>718</xdr:rowOff>
    </xdr:to>
    <xdr:grpSp>
      <xdr:nvGrpSpPr>
        <xdr:cNvPr id="1121" name="Agrupar 1120">
          <a:extLst>
            <a:ext uri="{FF2B5EF4-FFF2-40B4-BE49-F238E27FC236}">
              <a16:creationId xmlns:a16="http://schemas.microsoft.com/office/drawing/2014/main" id="{414ABCE5-50AC-4FCC-AC23-17842DF01A7A}"/>
            </a:ext>
          </a:extLst>
        </xdr:cNvPr>
        <xdr:cNvGrpSpPr/>
      </xdr:nvGrpSpPr>
      <xdr:grpSpPr>
        <a:xfrm>
          <a:off x="6899075" y="22989973"/>
          <a:ext cx="182763" cy="227631"/>
          <a:chOff x="6572251" y="7477594"/>
          <a:chExt cx="223837" cy="280178"/>
        </a:xfrm>
      </xdr:grpSpPr>
      <xdr:sp macro="" textlink="">
        <xdr:nvSpPr>
          <xdr:cNvPr id="1122" name="Elipse 1121">
            <a:extLst>
              <a:ext uri="{FF2B5EF4-FFF2-40B4-BE49-F238E27FC236}">
                <a16:creationId xmlns:a16="http://schemas.microsoft.com/office/drawing/2014/main" id="{F3DE2372-3DA4-BAA7-3A80-ACB350C395E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23" name="CaixaDeTexto 1122">
            <a:extLst>
              <a:ext uri="{FF2B5EF4-FFF2-40B4-BE49-F238E27FC236}">
                <a16:creationId xmlns:a16="http://schemas.microsoft.com/office/drawing/2014/main" id="{552A9659-4780-873A-D9C4-2CD0C532A47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103</xdr:row>
      <xdr:rowOff>208213</xdr:rowOff>
    </xdr:from>
    <xdr:to>
      <xdr:col>7</xdr:col>
      <xdr:colOff>205343</xdr:colOff>
      <xdr:row>104</xdr:row>
      <xdr:rowOff>210861</xdr:rowOff>
    </xdr:to>
    <xdr:grpSp>
      <xdr:nvGrpSpPr>
        <xdr:cNvPr id="1124" name="Agrupar 1123">
          <a:extLst>
            <a:ext uri="{FF2B5EF4-FFF2-40B4-BE49-F238E27FC236}">
              <a16:creationId xmlns:a16="http://schemas.microsoft.com/office/drawing/2014/main" id="{5093FA94-195B-4522-8440-34E1F6D7D7BA}"/>
            </a:ext>
          </a:extLst>
        </xdr:cNvPr>
        <xdr:cNvGrpSpPr/>
      </xdr:nvGrpSpPr>
      <xdr:grpSpPr>
        <a:xfrm>
          <a:off x="6379010" y="23203251"/>
          <a:ext cx="182763" cy="224496"/>
          <a:chOff x="6572251" y="7468545"/>
          <a:chExt cx="223837" cy="280178"/>
        </a:xfrm>
      </xdr:grpSpPr>
      <xdr:sp macro="" textlink="">
        <xdr:nvSpPr>
          <xdr:cNvPr id="1125" name="Elipse 1124">
            <a:extLst>
              <a:ext uri="{FF2B5EF4-FFF2-40B4-BE49-F238E27FC236}">
                <a16:creationId xmlns:a16="http://schemas.microsoft.com/office/drawing/2014/main" id="{B42F408E-56F9-D1DA-F75D-0AB5733FBF3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26" name="CaixaDeTexto 1125">
            <a:extLst>
              <a:ext uri="{FF2B5EF4-FFF2-40B4-BE49-F238E27FC236}">
                <a16:creationId xmlns:a16="http://schemas.microsoft.com/office/drawing/2014/main" id="{0B29B73B-3F1D-B67D-9EF0-AB619B31B76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103</xdr:row>
      <xdr:rowOff>216783</xdr:rowOff>
    </xdr:from>
    <xdr:to>
      <xdr:col>7</xdr:col>
      <xdr:colOff>725408</xdr:colOff>
      <xdr:row>105</xdr:row>
      <xdr:rowOff>719</xdr:rowOff>
    </xdr:to>
    <xdr:grpSp>
      <xdr:nvGrpSpPr>
        <xdr:cNvPr id="1127" name="Agrupar 1126">
          <a:extLst>
            <a:ext uri="{FF2B5EF4-FFF2-40B4-BE49-F238E27FC236}">
              <a16:creationId xmlns:a16="http://schemas.microsoft.com/office/drawing/2014/main" id="{8D884C72-3CAC-4211-B0B2-6D1728C68765}"/>
            </a:ext>
          </a:extLst>
        </xdr:cNvPr>
        <xdr:cNvGrpSpPr/>
      </xdr:nvGrpSpPr>
      <xdr:grpSpPr>
        <a:xfrm>
          <a:off x="6899075" y="23211821"/>
          <a:ext cx="182763" cy="227632"/>
          <a:chOff x="6572251" y="7477594"/>
          <a:chExt cx="223837" cy="280178"/>
        </a:xfrm>
      </xdr:grpSpPr>
      <xdr:sp macro="" textlink="">
        <xdr:nvSpPr>
          <xdr:cNvPr id="1128" name="Elipse 1127">
            <a:extLst>
              <a:ext uri="{FF2B5EF4-FFF2-40B4-BE49-F238E27FC236}">
                <a16:creationId xmlns:a16="http://schemas.microsoft.com/office/drawing/2014/main" id="{8E836C3C-23AB-E569-F601-46B8F2F1F17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29" name="CaixaDeTexto 1128">
            <a:extLst>
              <a:ext uri="{FF2B5EF4-FFF2-40B4-BE49-F238E27FC236}">
                <a16:creationId xmlns:a16="http://schemas.microsoft.com/office/drawing/2014/main" id="{20FDFA0D-E995-6803-122E-2D5EBBB2381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106</xdr:row>
      <xdr:rowOff>208213</xdr:rowOff>
    </xdr:from>
    <xdr:to>
      <xdr:col>7</xdr:col>
      <xdr:colOff>205343</xdr:colOff>
      <xdr:row>107</xdr:row>
      <xdr:rowOff>210861</xdr:rowOff>
    </xdr:to>
    <xdr:grpSp>
      <xdr:nvGrpSpPr>
        <xdr:cNvPr id="1130" name="Agrupar 1129">
          <a:extLst>
            <a:ext uri="{FF2B5EF4-FFF2-40B4-BE49-F238E27FC236}">
              <a16:creationId xmlns:a16="http://schemas.microsoft.com/office/drawing/2014/main" id="{81FC175A-26F5-4BA6-9316-BA84A49A34DA}"/>
            </a:ext>
          </a:extLst>
        </xdr:cNvPr>
        <xdr:cNvGrpSpPr/>
      </xdr:nvGrpSpPr>
      <xdr:grpSpPr>
        <a:xfrm>
          <a:off x="6379010" y="23868795"/>
          <a:ext cx="182763" cy="224496"/>
          <a:chOff x="6572251" y="7468545"/>
          <a:chExt cx="223837" cy="280178"/>
        </a:xfrm>
      </xdr:grpSpPr>
      <xdr:sp macro="" textlink="">
        <xdr:nvSpPr>
          <xdr:cNvPr id="1131" name="Elipse 1130">
            <a:extLst>
              <a:ext uri="{FF2B5EF4-FFF2-40B4-BE49-F238E27FC236}">
                <a16:creationId xmlns:a16="http://schemas.microsoft.com/office/drawing/2014/main" id="{C5766422-AFA2-5FE3-BDE8-D94176A6DA0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32" name="CaixaDeTexto 1131">
            <a:extLst>
              <a:ext uri="{FF2B5EF4-FFF2-40B4-BE49-F238E27FC236}">
                <a16:creationId xmlns:a16="http://schemas.microsoft.com/office/drawing/2014/main" id="{A0C35B91-3EE4-F6B7-0A94-1C03C5E7120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106</xdr:row>
      <xdr:rowOff>216783</xdr:rowOff>
    </xdr:from>
    <xdr:to>
      <xdr:col>7</xdr:col>
      <xdr:colOff>725408</xdr:colOff>
      <xdr:row>108</xdr:row>
      <xdr:rowOff>719</xdr:rowOff>
    </xdr:to>
    <xdr:grpSp>
      <xdr:nvGrpSpPr>
        <xdr:cNvPr id="1133" name="Agrupar 1132">
          <a:extLst>
            <a:ext uri="{FF2B5EF4-FFF2-40B4-BE49-F238E27FC236}">
              <a16:creationId xmlns:a16="http://schemas.microsoft.com/office/drawing/2014/main" id="{8167ADE5-6083-4DB2-965C-35BE638F4B4D}"/>
            </a:ext>
          </a:extLst>
        </xdr:cNvPr>
        <xdr:cNvGrpSpPr/>
      </xdr:nvGrpSpPr>
      <xdr:grpSpPr>
        <a:xfrm>
          <a:off x="6899075" y="23877365"/>
          <a:ext cx="182763" cy="227632"/>
          <a:chOff x="6572251" y="7477594"/>
          <a:chExt cx="223837" cy="280178"/>
        </a:xfrm>
      </xdr:grpSpPr>
      <xdr:sp macro="" textlink="">
        <xdr:nvSpPr>
          <xdr:cNvPr id="1134" name="Elipse 1133">
            <a:extLst>
              <a:ext uri="{FF2B5EF4-FFF2-40B4-BE49-F238E27FC236}">
                <a16:creationId xmlns:a16="http://schemas.microsoft.com/office/drawing/2014/main" id="{16B873CA-ACB1-888C-F046-6579FDD7000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35" name="CaixaDeTexto 1134">
            <a:extLst>
              <a:ext uri="{FF2B5EF4-FFF2-40B4-BE49-F238E27FC236}">
                <a16:creationId xmlns:a16="http://schemas.microsoft.com/office/drawing/2014/main" id="{F8A332E1-7244-AA20-9C02-7964BC5DF59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107</xdr:row>
      <xdr:rowOff>208213</xdr:rowOff>
    </xdr:from>
    <xdr:to>
      <xdr:col>7</xdr:col>
      <xdr:colOff>205343</xdr:colOff>
      <xdr:row>108</xdr:row>
      <xdr:rowOff>210861</xdr:rowOff>
    </xdr:to>
    <xdr:grpSp>
      <xdr:nvGrpSpPr>
        <xdr:cNvPr id="1136" name="Agrupar 1135">
          <a:extLst>
            <a:ext uri="{FF2B5EF4-FFF2-40B4-BE49-F238E27FC236}">
              <a16:creationId xmlns:a16="http://schemas.microsoft.com/office/drawing/2014/main" id="{0959A538-8A15-472D-9027-1410F2FB5987}"/>
            </a:ext>
          </a:extLst>
        </xdr:cNvPr>
        <xdr:cNvGrpSpPr/>
      </xdr:nvGrpSpPr>
      <xdr:grpSpPr>
        <a:xfrm>
          <a:off x="6379010" y="24090643"/>
          <a:ext cx="182763" cy="224496"/>
          <a:chOff x="6572251" y="7468545"/>
          <a:chExt cx="223837" cy="280178"/>
        </a:xfrm>
      </xdr:grpSpPr>
      <xdr:sp macro="" textlink="">
        <xdr:nvSpPr>
          <xdr:cNvPr id="1137" name="Elipse 1136">
            <a:extLst>
              <a:ext uri="{FF2B5EF4-FFF2-40B4-BE49-F238E27FC236}">
                <a16:creationId xmlns:a16="http://schemas.microsoft.com/office/drawing/2014/main" id="{2CB29F5C-4421-6BF0-9DF4-5C85DF8E3C4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38" name="CaixaDeTexto 1137">
            <a:extLst>
              <a:ext uri="{FF2B5EF4-FFF2-40B4-BE49-F238E27FC236}">
                <a16:creationId xmlns:a16="http://schemas.microsoft.com/office/drawing/2014/main" id="{A1504565-18E9-3AB7-0B77-3D2FB48CE7B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107</xdr:row>
      <xdr:rowOff>216783</xdr:rowOff>
    </xdr:from>
    <xdr:to>
      <xdr:col>7</xdr:col>
      <xdr:colOff>725408</xdr:colOff>
      <xdr:row>109</xdr:row>
      <xdr:rowOff>719</xdr:rowOff>
    </xdr:to>
    <xdr:grpSp>
      <xdr:nvGrpSpPr>
        <xdr:cNvPr id="1139" name="Agrupar 1138">
          <a:extLst>
            <a:ext uri="{FF2B5EF4-FFF2-40B4-BE49-F238E27FC236}">
              <a16:creationId xmlns:a16="http://schemas.microsoft.com/office/drawing/2014/main" id="{91011D28-56DC-4990-99F1-387610DC6FCA}"/>
            </a:ext>
          </a:extLst>
        </xdr:cNvPr>
        <xdr:cNvGrpSpPr/>
      </xdr:nvGrpSpPr>
      <xdr:grpSpPr>
        <a:xfrm>
          <a:off x="6899075" y="24099213"/>
          <a:ext cx="182763" cy="227633"/>
          <a:chOff x="6572251" y="7477594"/>
          <a:chExt cx="223837" cy="280178"/>
        </a:xfrm>
      </xdr:grpSpPr>
      <xdr:sp macro="" textlink="">
        <xdr:nvSpPr>
          <xdr:cNvPr id="1140" name="Elipse 1139">
            <a:extLst>
              <a:ext uri="{FF2B5EF4-FFF2-40B4-BE49-F238E27FC236}">
                <a16:creationId xmlns:a16="http://schemas.microsoft.com/office/drawing/2014/main" id="{269963A3-4745-264D-D6CE-1A959E8A877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41" name="CaixaDeTexto 1140">
            <a:extLst>
              <a:ext uri="{FF2B5EF4-FFF2-40B4-BE49-F238E27FC236}">
                <a16:creationId xmlns:a16="http://schemas.microsoft.com/office/drawing/2014/main" id="{DB0BCC2F-32AF-EDB4-D3F1-8BCF84CD5DD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108</xdr:row>
      <xdr:rowOff>208213</xdr:rowOff>
    </xdr:from>
    <xdr:to>
      <xdr:col>7</xdr:col>
      <xdr:colOff>205343</xdr:colOff>
      <xdr:row>109</xdr:row>
      <xdr:rowOff>210861</xdr:rowOff>
    </xdr:to>
    <xdr:grpSp>
      <xdr:nvGrpSpPr>
        <xdr:cNvPr id="1142" name="Agrupar 1141">
          <a:extLst>
            <a:ext uri="{FF2B5EF4-FFF2-40B4-BE49-F238E27FC236}">
              <a16:creationId xmlns:a16="http://schemas.microsoft.com/office/drawing/2014/main" id="{DD58BDD1-0467-4A8F-B30F-B0EB6F9E6CBC}"/>
            </a:ext>
          </a:extLst>
        </xdr:cNvPr>
        <xdr:cNvGrpSpPr/>
      </xdr:nvGrpSpPr>
      <xdr:grpSpPr>
        <a:xfrm>
          <a:off x="6379010" y="24312491"/>
          <a:ext cx="182763" cy="224497"/>
          <a:chOff x="6572251" y="7468545"/>
          <a:chExt cx="223837" cy="280178"/>
        </a:xfrm>
      </xdr:grpSpPr>
      <xdr:sp macro="" textlink="">
        <xdr:nvSpPr>
          <xdr:cNvPr id="1143" name="Elipse 1142">
            <a:extLst>
              <a:ext uri="{FF2B5EF4-FFF2-40B4-BE49-F238E27FC236}">
                <a16:creationId xmlns:a16="http://schemas.microsoft.com/office/drawing/2014/main" id="{B0332292-CD52-E7A5-1C2B-4F7466419E3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44" name="CaixaDeTexto 1143">
            <a:extLst>
              <a:ext uri="{FF2B5EF4-FFF2-40B4-BE49-F238E27FC236}">
                <a16:creationId xmlns:a16="http://schemas.microsoft.com/office/drawing/2014/main" id="{36ADA845-9593-47EC-BF31-D9E44397726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108</xdr:row>
      <xdr:rowOff>216783</xdr:rowOff>
    </xdr:from>
    <xdr:to>
      <xdr:col>7</xdr:col>
      <xdr:colOff>725408</xdr:colOff>
      <xdr:row>110</xdr:row>
      <xdr:rowOff>719</xdr:rowOff>
    </xdr:to>
    <xdr:grpSp>
      <xdr:nvGrpSpPr>
        <xdr:cNvPr id="1145" name="Agrupar 1144">
          <a:extLst>
            <a:ext uri="{FF2B5EF4-FFF2-40B4-BE49-F238E27FC236}">
              <a16:creationId xmlns:a16="http://schemas.microsoft.com/office/drawing/2014/main" id="{B71F7545-CD20-4921-87B6-C99C9893A09C}"/>
            </a:ext>
          </a:extLst>
        </xdr:cNvPr>
        <xdr:cNvGrpSpPr/>
      </xdr:nvGrpSpPr>
      <xdr:grpSpPr>
        <a:xfrm>
          <a:off x="6899075" y="24321061"/>
          <a:ext cx="182763" cy="227633"/>
          <a:chOff x="6572251" y="7477594"/>
          <a:chExt cx="223837" cy="280178"/>
        </a:xfrm>
      </xdr:grpSpPr>
      <xdr:sp macro="" textlink="">
        <xdr:nvSpPr>
          <xdr:cNvPr id="1146" name="Elipse 1145">
            <a:extLst>
              <a:ext uri="{FF2B5EF4-FFF2-40B4-BE49-F238E27FC236}">
                <a16:creationId xmlns:a16="http://schemas.microsoft.com/office/drawing/2014/main" id="{9D76E893-3FDF-DC90-4213-88540610096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47" name="CaixaDeTexto 1146">
            <a:extLst>
              <a:ext uri="{FF2B5EF4-FFF2-40B4-BE49-F238E27FC236}">
                <a16:creationId xmlns:a16="http://schemas.microsoft.com/office/drawing/2014/main" id="{7A3DDB3F-BA7B-5BD9-1970-CBCBE60322E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105</xdr:row>
      <xdr:rowOff>208213</xdr:rowOff>
    </xdr:from>
    <xdr:to>
      <xdr:col>7</xdr:col>
      <xdr:colOff>205343</xdr:colOff>
      <xdr:row>106</xdr:row>
      <xdr:rowOff>210861</xdr:rowOff>
    </xdr:to>
    <xdr:grpSp>
      <xdr:nvGrpSpPr>
        <xdr:cNvPr id="1148" name="Agrupar 1147">
          <a:extLst>
            <a:ext uri="{FF2B5EF4-FFF2-40B4-BE49-F238E27FC236}">
              <a16:creationId xmlns:a16="http://schemas.microsoft.com/office/drawing/2014/main" id="{04C3274F-A802-445A-9E64-8360F8583697}"/>
            </a:ext>
          </a:extLst>
        </xdr:cNvPr>
        <xdr:cNvGrpSpPr/>
      </xdr:nvGrpSpPr>
      <xdr:grpSpPr>
        <a:xfrm>
          <a:off x="6379010" y="23646947"/>
          <a:ext cx="182763" cy="224496"/>
          <a:chOff x="6572251" y="7468545"/>
          <a:chExt cx="223837" cy="280178"/>
        </a:xfrm>
      </xdr:grpSpPr>
      <xdr:sp macro="" textlink="">
        <xdr:nvSpPr>
          <xdr:cNvPr id="1149" name="Elipse 1148">
            <a:extLst>
              <a:ext uri="{FF2B5EF4-FFF2-40B4-BE49-F238E27FC236}">
                <a16:creationId xmlns:a16="http://schemas.microsoft.com/office/drawing/2014/main" id="{FEAD49E3-94A6-9430-C21A-3BBABCB1DB9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50" name="CaixaDeTexto 1149">
            <a:extLst>
              <a:ext uri="{FF2B5EF4-FFF2-40B4-BE49-F238E27FC236}">
                <a16:creationId xmlns:a16="http://schemas.microsoft.com/office/drawing/2014/main" id="{27BA23C1-D2AE-0E85-F4E6-3C9B76EC8A9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105</xdr:row>
      <xdr:rowOff>216783</xdr:rowOff>
    </xdr:from>
    <xdr:to>
      <xdr:col>7</xdr:col>
      <xdr:colOff>725408</xdr:colOff>
      <xdr:row>107</xdr:row>
      <xdr:rowOff>718</xdr:rowOff>
    </xdr:to>
    <xdr:grpSp>
      <xdr:nvGrpSpPr>
        <xdr:cNvPr id="1151" name="Agrupar 1150">
          <a:extLst>
            <a:ext uri="{FF2B5EF4-FFF2-40B4-BE49-F238E27FC236}">
              <a16:creationId xmlns:a16="http://schemas.microsoft.com/office/drawing/2014/main" id="{A69BDAE9-FA4C-4466-8777-EA0D4C18B93B}"/>
            </a:ext>
          </a:extLst>
        </xdr:cNvPr>
        <xdr:cNvGrpSpPr/>
      </xdr:nvGrpSpPr>
      <xdr:grpSpPr>
        <a:xfrm>
          <a:off x="6899075" y="23655517"/>
          <a:ext cx="182763" cy="227631"/>
          <a:chOff x="6572251" y="7477594"/>
          <a:chExt cx="223837" cy="280178"/>
        </a:xfrm>
      </xdr:grpSpPr>
      <xdr:sp macro="" textlink="">
        <xdr:nvSpPr>
          <xdr:cNvPr id="1152" name="Elipse 1151">
            <a:extLst>
              <a:ext uri="{FF2B5EF4-FFF2-40B4-BE49-F238E27FC236}">
                <a16:creationId xmlns:a16="http://schemas.microsoft.com/office/drawing/2014/main" id="{0B5F50F7-24C8-1DBD-D05F-E0FE8A2A0C0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53" name="CaixaDeTexto 1152">
            <a:extLst>
              <a:ext uri="{FF2B5EF4-FFF2-40B4-BE49-F238E27FC236}">
                <a16:creationId xmlns:a16="http://schemas.microsoft.com/office/drawing/2014/main" id="{5E41CBCF-6676-4560-B473-F6AE64F687B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105</xdr:row>
      <xdr:rowOff>208213</xdr:rowOff>
    </xdr:from>
    <xdr:to>
      <xdr:col>7</xdr:col>
      <xdr:colOff>205343</xdr:colOff>
      <xdr:row>106</xdr:row>
      <xdr:rowOff>210861</xdr:rowOff>
    </xdr:to>
    <xdr:grpSp>
      <xdr:nvGrpSpPr>
        <xdr:cNvPr id="1154" name="Agrupar 1153">
          <a:extLst>
            <a:ext uri="{FF2B5EF4-FFF2-40B4-BE49-F238E27FC236}">
              <a16:creationId xmlns:a16="http://schemas.microsoft.com/office/drawing/2014/main" id="{31511651-2779-424A-A125-02D4741596CE}"/>
            </a:ext>
          </a:extLst>
        </xdr:cNvPr>
        <xdr:cNvGrpSpPr/>
      </xdr:nvGrpSpPr>
      <xdr:grpSpPr>
        <a:xfrm>
          <a:off x="6379010" y="23646947"/>
          <a:ext cx="182763" cy="224496"/>
          <a:chOff x="6572251" y="7468545"/>
          <a:chExt cx="223837" cy="280178"/>
        </a:xfrm>
      </xdr:grpSpPr>
      <xdr:sp macro="" textlink="">
        <xdr:nvSpPr>
          <xdr:cNvPr id="1155" name="Elipse 1154">
            <a:extLst>
              <a:ext uri="{FF2B5EF4-FFF2-40B4-BE49-F238E27FC236}">
                <a16:creationId xmlns:a16="http://schemas.microsoft.com/office/drawing/2014/main" id="{B831A4E0-93D0-B108-8A9A-FFDCA217D45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56" name="CaixaDeTexto 1155">
            <a:extLst>
              <a:ext uri="{FF2B5EF4-FFF2-40B4-BE49-F238E27FC236}">
                <a16:creationId xmlns:a16="http://schemas.microsoft.com/office/drawing/2014/main" id="{EDCF38B3-9542-7247-0D3E-7851E11F77C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105</xdr:row>
      <xdr:rowOff>216783</xdr:rowOff>
    </xdr:from>
    <xdr:to>
      <xdr:col>7</xdr:col>
      <xdr:colOff>725408</xdr:colOff>
      <xdr:row>107</xdr:row>
      <xdr:rowOff>718</xdr:rowOff>
    </xdr:to>
    <xdr:grpSp>
      <xdr:nvGrpSpPr>
        <xdr:cNvPr id="1157" name="Agrupar 1156">
          <a:extLst>
            <a:ext uri="{FF2B5EF4-FFF2-40B4-BE49-F238E27FC236}">
              <a16:creationId xmlns:a16="http://schemas.microsoft.com/office/drawing/2014/main" id="{86D2BBA3-F449-4091-80FE-A1FD0F7A178D}"/>
            </a:ext>
          </a:extLst>
        </xdr:cNvPr>
        <xdr:cNvGrpSpPr/>
      </xdr:nvGrpSpPr>
      <xdr:grpSpPr>
        <a:xfrm>
          <a:off x="6899075" y="23655517"/>
          <a:ext cx="182763" cy="227631"/>
          <a:chOff x="6572251" y="7477594"/>
          <a:chExt cx="223837" cy="280178"/>
        </a:xfrm>
      </xdr:grpSpPr>
      <xdr:sp macro="" textlink="">
        <xdr:nvSpPr>
          <xdr:cNvPr id="1158" name="Elipse 1157">
            <a:extLst>
              <a:ext uri="{FF2B5EF4-FFF2-40B4-BE49-F238E27FC236}">
                <a16:creationId xmlns:a16="http://schemas.microsoft.com/office/drawing/2014/main" id="{4295D539-34B5-3622-79F5-BE92DCB75DC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59" name="CaixaDeTexto 1158">
            <a:extLst>
              <a:ext uri="{FF2B5EF4-FFF2-40B4-BE49-F238E27FC236}">
                <a16:creationId xmlns:a16="http://schemas.microsoft.com/office/drawing/2014/main" id="{90C640CE-1C73-06AE-82D2-AE32455F5BB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104</xdr:row>
      <xdr:rowOff>208213</xdr:rowOff>
    </xdr:from>
    <xdr:to>
      <xdr:col>7</xdr:col>
      <xdr:colOff>205343</xdr:colOff>
      <xdr:row>105</xdr:row>
      <xdr:rowOff>210861</xdr:rowOff>
    </xdr:to>
    <xdr:grpSp>
      <xdr:nvGrpSpPr>
        <xdr:cNvPr id="1160" name="Agrupar 1159">
          <a:extLst>
            <a:ext uri="{FF2B5EF4-FFF2-40B4-BE49-F238E27FC236}">
              <a16:creationId xmlns:a16="http://schemas.microsoft.com/office/drawing/2014/main" id="{DCA150CE-8A05-449C-90FE-F034BC9E487E}"/>
            </a:ext>
          </a:extLst>
        </xdr:cNvPr>
        <xdr:cNvGrpSpPr/>
      </xdr:nvGrpSpPr>
      <xdr:grpSpPr>
        <a:xfrm>
          <a:off x="6379010" y="23425099"/>
          <a:ext cx="182763" cy="224496"/>
          <a:chOff x="6572251" y="7468545"/>
          <a:chExt cx="223837" cy="280178"/>
        </a:xfrm>
      </xdr:grpSpPr>
      <xdr:sp macro="" textlink="">
        <xdr:nvSpPr>
          <xdr:cNvPr id="1161" name="Elipse 1160">
            <a:extLst>
              <a:ext uri="{FF2B5EF4-FFF2-40B4-BE49-F238E27FC236}">
                <a16:creationId xmlns:a16="http://schemas.microsoft.com/office/drawing/2014/main" id="{1D1A817C-675A-451C-C55B-CBC5E857A98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62" name="CaixaDeTexto 1161">
            <a:extLst>
              <a:ext uri="{FF2B5EF4-FFF2-40B4-BE49-F238E27FC236}">
                <a16:creationId xmlns:a16="http://schemas.microsoft.com/office/drawing/2014/main" id="{71D2795F-5D2A-693C-5C2B-D00ADD8C865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104</xdr:row>
      <xdr:rowOff>216783</xdr:rowOff>
    </xdr:from>
    <xdr:to>
      <xdr:col>7</xdr:col>
      <xdr:colOff>725408</xdr:colOff>
      <xdr:row>106</xdr:row>
      <xdr:rowOff>719</xdr:rowOff>
    </xdr:to>
    <xdr:grpSp>
      <xdr:nvGrpSpPr>
        <xdr:cNvPr id="1163" name="Agrupar 1162">
          <a:extLst>
            <a:ext uri="{FF2B5EF4-FFF2-40B4-BE49-F238E27FC236}">
              <a16:creationId xmlns:a16="http://schemas.microsoft.com/office/drawing/2014/main" id="{BE6F8C7B-3C00-424F-A9E8-7FCF1B2DCC82}"/>
            </a:ext>
          </a:extLst>
        </xdr:cNvPr>
        <xdr:cNvGrpSpPr/>
      </xdr:nvGrpSpPr>
      <xdr:grpSpPr>
        <a:xfrm>
          <a:off x="6899075" y="23433669"/>
          <a:ext cx="182763" cy="227632"/>
          <a:chOff x="6572251" y="7477594"/>
          <a:chExt cx="223837" cy="280178"/>
        </a:xfrm>
      </xdr:grpSpPr>
      <xdr:sp macro="" textlink="">
        <xdr:nvSpPr>
          <xdr:cNvPr id="1164" name="Elipse 1163">
            <a:extLst>
              <a:ext uri="{FF2B5EF4-FFF2-40B4-BE49-F238E27FC236}">
                <a16:creationId xmlns:a16="http://schemas.microsoft.com/office/drawing/2014/main" id="{2A2D8B43-5AEE-58B5-143F-B469BF3ADAE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65" name="CaixaDeTexto 1164">
            <a:extLst>
              <a:ext uri="{FF2B5EF4-FFF2-40B4-BE49-F238E27FC236}">
                <a16:creationId xmlns:a16="http://schemas.microsoft.com/office/drawing/2014/main" id="{4886923C-4DB1-3680-37AE-90022EC9636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109</xdr:row>
      <xdr:rowOff>208213</xdr:rowOff>
    </xdr:from>
    <xdr:to>
      <xdr:col>7</xdr:col>
      <xdr:colOff>205343</xdr:colOff>
      <xdr:row>110</xdr:row>
      <xdr:rowOff>210861</xdr:rowOff>
    </xdr:to>
    <xdr:grpSp>
      <xdr:nvGrpSpPr>
        <xdr:cNvPr id="1166" name="Agrupar 1165">
          <a:extLst>
            <a:ext uri="{FF2B5EF4-FFF2-40B4-BE49-F238E27FC236}">
              <a16:creationId xmlns:a16="http://schemas.microsoft.com/office/drawing/2014/main" id="{FCB8A854-D2F2-4E0E-A722-D493FF9F4E54}"/>
            </a:ext>
          </a:extLst>
        </xdr:cNvPr>
        <xdr:cNvGrpSpPr/>
      </xdr:nvGrpSpPr>
      <xdr:grpSpPr>
        <a:xfrm>
          <a:off x="6379010" y="24534340"/>
          <a:ext cx="182763" cy="224496"/>
          <a:chOff x="6572251" y="7468545"/>
          <a:chExt cx="223837" cy="280178"/>
        </a:xfrm>
      </xdr:grpSpPr>
      <xdr:sp macro="" textlink="">
        <xdr:nvSpPr>
          <xdr:cNvPr id="1167" name="Elipse 1166">
            <a:extLst>
              <a:ext uri="{FF2B5EF4-FFF2-40B4-BE49-F238E27FC236}">
                <a16:creationId xmlns:a16="http://schemas.microsoft.com/office/drawing/2014/main" id="{36D037B9-D559-A563-660A-C165C9A0FA8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68" name="CaixaDeTexto 1167">
            <a:extLst>
              <a:ext uri="{FF2B5EF4-FFF2-40B4-BE49-F238E27FC236}">
                <a16:creationId xmlns:a16="http://schemas.microsoft.com/office/drawing/2014/main" id="{4871DD33-18FC-6D3F-6002-D352E451043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109</xdr:row>
      <xdr:rowOff>216783</xdr:rowOff>
    </xdr:from>
    <xdr:to>
      <xdr:col>7</xdr:col>
      <xdr:colOff>725408</xdr:colOff>
      <xdr:row>111</xdr:row>
      <xdr:rowOff>718</xdr:rowOff>
    </xdr:to>
    <xdr:grpSp>
      <xdr:nvGrpSpPr>
        <xdr:cNvPr id="1169" name="Agrupar 1168">
          <a:extLst>
            <a:ext uri="{FF2B5EF4-FFF2-40B4-BE49-F238E27FC236}">
              <a16:creationId xmlns:a16="http://schemas.microsoft.com/office/drawing/2014/main" id="{1F29BF57-FAE8-4B6A-A403-8F3E63F68467}"/>
            </a:ext>
          </a:extLst>
        </xdr:cNvPr>
        <xdr:cNvGrpSpPr/>
      </xdr:nvGrpSpPr>
      <xdr:grpSpPr>
        <a:xfrm>
          <a:off x="6899075" y="24542910"/>
          <a:ext cx="182763" cy="227631"/>
          <a:chOff x="6572251" y="7477594"/>
          <a:chExt cx="223837" cy="280178"/>
        </a:xfrm>
      </xdr:grpSpPr>
      <xdr:sp macro="" textlink="">
        <xdr:nvSpPr>
          <xdr:cNvPr id="1170" name="Elipse 1169">
            <a:extLst>
              <a:ext uri="{FF2B5EF4-FFF2-40B4-BE49-F238E27FC236}">
                <a16:creationId xmlns:a16="http://schemas.microsoft.com/office/drawing/2014/main" id="{F509E3CD-CEA8-6DDF-2D36-C7EF714F686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71" name="CaixaDeTexto 1170">
            <a:extLst>
              <a:ext uri="{FF2B5EF4-FFF2-40B4-BE49-F238E27FC236}">
                <a16:creationId xmlns:a16="http://schemas.microsoft.com/office/drawing/2014/main" id="{0E11732E-30EE-C6A8-05C7-CE514CC2130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112</xdr:row>
      <xdr:rowOff>208213</xdr:rowOff>
    </xdr:from>
    <xdr:to>
      <xdr:col>7</xdr:col>
      <xdr:colOff>205343</xdr:colOff>
      <xdr:row>113</xdr:row>
      <xdr:rowOff>210861</xdr:rowOff>
    </xdr:to>
    <xdr:grpSp>
      <xdr:nvGrpSpPr>
        <xdr:cNvPr id="1172" name="Agrupar 1171">
          <a:extLst>
            <a:ext uri="{FF2B5EF4-FFF2-40B4-BE49-F238E27FC236}">
              <a16:creationId xmlns:a16="http://schemas.microsoft.com/office/drawing/2014/main" id="{65992603-F785-4BBD-93A2-6E0310872777}"/>
            </a:ext>
          </a:extLst>
        </xdr:cNvPr>
        <xdr:cNvGrpSpPr/>
      </xdr:nvGrpSpPr>
      <xdr:grpSpPr>
        <a:xfrm>
          <a:off x="6379010" y="25199884"/>
          <a:ext cx="182763" cy="224496"/>
          <a:chOff x="6572251" y="7468545"/>
          <a:chExt cx="223837" cy="280178"/>
        </a:xfrm>
      </xdr:grpSpPr>
      <xdr:sp macro="" textlink="">
        <xdr:nvSpPr>
          <xdr:cNvPr id="1173" name="Elipse 1172">
            <a:extLst>
              <a:ext uri="{FF2B5EF4-FFF2-40B4-BE49-F238E27FC236}">
                <a16:creationId xmlns:a16="http://schemas.microsoft.com/office/drawing/2014/main" id="{0E20D4DF-9D4A-B859-D6B8-A6197A638EA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74" name="CaixaDeTexto 1173">
            <a:extLst>
              <a:ext uri="{FF2B5EF4-FFF2-40B4-BE49-F238E27FC236}">
                <a16:creationId xmlns:a16="http://schemas.microsoft.com/office/drawing/2014/main" id="{EA425BFA-F096-C87E-287B-776F825F94F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112</xdr:row>
      <xdr:rowOff>216783</xdr:rowOff>
    </xdr:from>
    <xdr:to>
      <xdr:col>7</xdr:col>
      <xdr:colOff>725408</xdr:colOff>
      <xdr:row>114</xdr:row>
      <xdr:rowOff>718</xdr:rowOff>
    </xdr:to>
    <xdr:grpSp>
      <xdr:nvGrpSpPr>
        <xdr:cNvPr id="1175" name="Agrupar 1174">
          <a:extLst>
            <a:ext uri="{FF2B5EF4-FFF2-40B4-BE49-F238E27FC236}">
              <a16:creationId xmlns:a16="http://schemas.microsoft.com/office/drawing/2014/main" id="{261B591C-273C-4CB2-B880-80B9A2868113}"/>
            </a:ext>
          </a:extLst>
        </xdr:cNvPr>
        <xdr:cNvGrpSpPr/>
      </xdr:nvGrpSpPr>
      <xdr:grpSpPr>
        <a:xfrm>
          <a:off x="6899075" y="25208454"/>
          <a:ext cx="182763" cy="227631"/>
          <a:chOff x="6572251" y="7477594"/>
          <a:chExt cx="223837" cy="280178"/>
        </a:xfrm>
      </xdr:grpSpPr>
      <xdr:sp macro="" textlink="">
        <xdr:nvSpPr>
          <xdr:cNvPr id="1176" name="Elipse 1175">
            <a:extLst>
              <a:ext uri="{FF2B5EF4-FFF2-40B4-BE49-F238E27FC236}">
                <a16:creationId xmlns:a16="http://schemas.microsoft.com/office/drawing/2014/main" id="{A66EEBFE-FBC6-2B68-FAFF-98F66D1EB34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77" name="CaixaDeTexto 1176">
            <a:extLst>
              <a:ext uri="{FF2B5EF4-FFF2-40B4-BE49-F238E27FC236}">
                <a16:creationId xmlns:a16="http://schemas.microsoft.com/office/drawing/2014/main" id="{2A6A4099-6F39-8D53-0B95-2E5B61C3F40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113</xdr:row>
      <xdr:rowOff>208213</xdr:rowOff>
    </xdr:from>
    <xdr:to>
      <xdr:col>7</xdr:col>
      <xdr:colOff>205343</xdr:colOff>
      <xdr:row>114</xdr:row>
      <xdr:rowOff>210861</xdr:rowOff>
    </xdr:to>
    <xdr:grpSp>
      <xdr:nvGrpSpPr>
        <xdr:cNvPr id="1178" name="Agrupar 1177">
          <a:extLst>
            <a:ext uri="{FF2B5EF4-FFF2-40B4-BE49-F238E27FC236}">
              <a16:creationId xmlns:a16="http://schemas.microsoft.com/office/drawing/2014/main" id="{037250C9-7CB4-4EAA-8474-45BDE4E3D740}"/>
            </a:ext>
          </a:extLst>
        </xdr:cNvPr>
        <xdr:cNvGrpSpPr/>
      </xdr:nvGrpSpPr>
      <xdr:grpSpPr>
        <a:xfrm>
          <a:off x="6379010" y="25421732"/>
          <a:ext cx="182763" cy="224496"/>
          <a:chOff x="6572251" y="7468545"/>
          <a:chExt cx="223837" cy="280178"/>
        </a:xfrm>
      </xdr:grpSpPr>
      <xdr:sp macro="" textlink="">
        <xdr:nvSpPr>
          <xdr:cNvPr id="1179" name="Elipse 1178">
            <a:extLst>
              <a:ext uri="{FF2B5EF4-FFF2-40B4-BE49-F238E27FC236}">
                <a16:creationId xmlns:a16="http://schemas.microsoft.com/office/drawing/2014/main" id="{A8519DFC-0143-D29B-0A43-42FC265E7D8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80" name="CaixaDeTexto 1179">
            <a:extLst>
              <a:ext uri="{FF2B5EF4-FFF2-40B4-BE49-F238E27FC236}">
                <a16:creationId xmlns:a16="http://schemas.microsoft.com/office/drawing/2014/main" id="{D777DCE1-A8FE-32D9-73A6-6AF0118CB20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113</xdr:row>
      <xdr:rowOff>216783</xdr:rowOff>
    </xdr:from>
    <xdr:to>
      <xdr:col>7</xdr:col>
      <xdr:colOff>725408</xdr:colOff>
      <xdr:row>115</xdr:row>
      <xdr:rowOff>719</xdr:rowOff>
    </xdr:to>
    <xdr:grpSp>
      <xdr:nvGrpSpPr>
        <xdr:cNvPr id="1181" name="Agrupar 1180">
          <a:extLst>
            <a:ext uri="{FF2B5EF4-FFF2-40B4-BE49-F238E27FC236}">
              <a16:creationId xmlns:a16="http://schemas.microsoft.com/office/drawing/2014/main" id="{7ECF66F6-E7BC-4F38-B27F-54A62B3730F5}"/>
            </a:ext>
          </a:extLst>
        </xdr:cNvPr>
        <xdr:cNvGrpSpPr/>
      </xdr:nvGrpSpPr>
      <xdr:grpSpPr>
        <a:xfrm>
          <a:off x="6899075" y="25430302"/>
          <a:ext cx="182763" cy="227632"/>
          <a:chOff x="6572251" y="7477594"/>
          <a:chExt cx="223837" cy="280178"/>
        </a:xfrm>
      </xdr:grpSpPr>
      <xdr:sp macro="" textlink="">
        <xdr:nvSpPr>
          <xdr:cNvPr id="1182" name="Elipse 1181">
            <a:extLst>
              <a:ext uri="{FF2B5EF4-FFF2-40B4-BE49-F238E27FC236}">
                <a16:creationId xmlns:a16="http://schemas.microsoft.com/office/drawing/2014/main" id="{8DE2C24F-A7EE-53F5-42B6-2281B0DA444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83" name="CaixaDeTexto 1182">
            <a:extLst>
              <a:ext uri="{FF2B5EF4-FFF2-40B4-BE49-F238E27FC236}">
                <a16:creationId xmlns:a16="http://schemas.microsoft.com/office/drawing/2014/main" id="{E86D1E1F-1A3E-9051-2B55-BCFFBC22104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114</xdr:row>
      <xdr:rowOff>208213</xdr:rowOff>
    </xdr:from>
    <xdr:to>
      <xdr:col>7</xdr:col>
      <xdr:colOff>205343</xdr:colOff>
      <xdr:row>115</xdr:row>
      <xdr:rowOff>210861</xdr:rowOff>
    </xdr:to>
    <xdr:grpSp>
      <xdr:nvGrpSpPr>
        <xdr:cNvPr id="1184" name="Agrupar 1183">
          <a:extLst>
            <a:ext uri="{FF2B5EF4-FFF2-40B4-BE49-F238E27FC236}">
              <a16:creationId xmlns:a16="http://schemas.microsoft.com/office/drawing/2014/main" id="{D9E07AF4-63B1-4E66-B9F4-E84BFD4A0B1D}"/>
            </a:ext>
          </a:extLst>
        </xdr:cNvPr>
        <xdr:cNvGrpSpPr/>
      </xdr:nvGrpSpPr>
      <xdr:grpSpPr>
        <a:xfrm>
          <a:off x="6379010" y="25643580"/>
          <a:ext cx="182763" cy="224496"/>
          <a:chOff x="6572251" y="7468545"/>
          <a:chExt cx="223837" cy="280178"/>
        </a:xfrm>
      </xdr:grpSpPr>
      <xdr:sp macro="" textlink="">
        <xdr:nvSpPr>
          <xdr:cNvPr id="1185" name="Elipse 1184">
            <a:extLst>
              <a:ext uri="{FF2B5EF4-FFF2-40B4-BE49-F238E27FC236}">
                <a16:creationId xmlns:a16="http://schemas.microsoft.com/office/drawing/2014/main" id="{C2927A9F-C4D9-4F69-9BF9-690BB37577C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86" name="CaixaDeTexto 1185">
            <a:extLst>
              <a:ext uri="{FF2B5EF4-FFF2-40B4-BE49-F238E27FC236}">
                <a16:creationId xmlns:a16="http://schemas.microsoft.com/office/drawing/2014/main" id="{2A6BEAF3-A2D5-0130-3827-9505D2C9E80A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114</xdr:row>
      <xdr:rowOff>216783</xdr:rowOff>
    </xdr:from>
    <xdr:to>
      <xdr:col>7</xdr:col>
      <xdr:colOff>725408</xdr:colOff>
      <xdr:row>116</xdr:row>
      <xdr:rowOff>719</xdr:rowOff>
    </xdr:to>
    <xdr:grpSp>
      <xdr:nvGrpSpPr>
        <xdr:cNvPr id="1187" name="Agrupar 1186">
          <a:extLst>
            <a:ext uri="{FF2B5EF4-FFF2-40B4-BE49-F238E27FC236}">
              <a16:creationId xmlns:a16="http://schemas.microsoft.com/office/drawing/2014/main" id="{D9859A10-3E64-45BC-A498-2C42F6F1B2B5}"/>
            </a:ext>
          </a:extLst>
        </xdr:cNvPr>
        <xdr:cNvGrpSpPr/>
      </xdr:nvGrpSpPr>
      <xdr:grpSpPr>
        <a:xfrm>
          <a:off x="6899075" y="25652150"/>
          <a:ext cx="182763" cy="227632"/>
          <a:chOff x="6572251" y="7477594"/>
          <a:chExt cx="223837" cy="280178"/>
        </a:xfrm>
      </xdr:grpSpPr>
      <xdr:sp macro="" textlink="">
        <xdr:nvSpPr>
          <xdr:cNvPr id="1188" name="Elipse 1187">
            <a:extLst>
              <a:ext uri="{FF2B5EF4-FFF2-40B4-BE49-F238E27FC236}">
                <a16:creationId xmlns:a16="http://schemas.microsoft.com/office/drawing/2014/main" id="{44290D37-7419-636E-78D5-9FFE51976DA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89" name="CaixaDeTexto 1188">
            <a:extLst>
              <a:ext uri="{FF2B5EF4-FFF2-40B4-BE49-F238E27FC236}">
                <a16:creationId xmlns:a16="http://schemas.microsoft.com/office/drawing/2014/main" id="{2C3CBE4E-91FD-ACCD-6421-300D0B82DE3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111</xdr:row>
      <xdr:rowOff>208213</xdr:rowOff>
    </xdr:from>
    <xdr:to>
      <xdr:col>7</xdr:col>
      <xdr:colOff>205343</xdr:colOff>
      <xdr:row>112</xdr:row>
      <xdr:rowOff>210861</xdr:rowOff>
    </xdr:to>
    <xdr:grpSp>
      <xdr:nvGrpSpPr>
        <xdr:cNvPr id="1190" name="Agrupar 1189">
          <a:extLst>
            <a:ext uri="{FF2B5EF4-FFF2-40B4-BE49-F238E27FC236}">
              <a16:creationId xmlns:a16="http://schemas.microsoft.com/office/drawing/2014/main" id="{7EE1566A-0D43-44F0-86FB-B6CB30E3826C}"/>
            </a:ext>
          </a:extLst>
        </xdr:cNvPr>
        <xdr:cNvGrpSpPr/>
      </xdr:nvGrpSpPr>
      <xdr:grpSpPr>
        <a:xfrm>
          <a:off x="6379010" y="24978036"/>
          <a:ext cx="182763" cy="224496"/>
          <a:chOff x="6572251" y="7468545"/>
          <a:chExt cx="223837" cy="280178"/>
        </a:xfrm>
      </xdr:grpSpPr>
      <xdr:sp macro="" textlink="">
        <xdr:nvSpPr>
          <xdr:cNvPr id="1191" name="Elipse 1190">
            <a:extLst>
              <a:ext uri="{FF2B5EF4-FFF2-40B4-BE49-F238E27FC236}">
                <a16:creationId xmlns:a16="http://schemas.microsoft.com/office/drawing/2014/main" id="{58680E33-0FED-0CD7-17B0-74DF0044F91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92" name="CaixaDeTexto 1191">
            <a:extLst>
              <a:ext uri="{FF2B5EF4-FFF2-40B4-BE49-F238E27FC236}">
                <a16:creationId xmlns:a16="http://schemas.microsoft.com/office/drawing/2014/main" id="{20FA81DF-C4C6-784E-AA71-0E72AD6D129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111</xdr:row>
      <xdr:rowOff>216783</xdr:rowOff>
    </xdr:from>
    <xdr:to>
      <xdr:col>7</xdr:col>
      <xdr:colOff>725408</xdr:colOff>
      <xdr:row>113</xdr:row>
      <xdr:rowOff>719</xdr:rowOff>
    </xdr:to>
    <xdr:grpSp>
      <xdr:nvGrpSpPr>
        <xdr:cNvPr id="1193" name="Agrupar 1192">
          <a:extLst>
            <a:ext uri="{FF2B5EF4-FFF2-40B4-BE49-F238E27FC236}">
              <a16:creationId xmlns:a16="http://schemas.microsoft.com/office/drawing/2014/main" id="{8B33E531-FE0D-46C0-BD46-68C1EAB24298}"/>
            </a:ext>
          </a:extLst>
        </xdr:cNvPr>
        <xdr:cNvGrpSpPr/>
      </xdr:nvGrpSpPr>
      <xdr:grpSpPr>
        <a:xfrm>
          <a:off x="6899075" y="24986606"/>
          <a:ext cx="182763" cy="227632"/>
          <a:chOff x="6572251" y="7477594"/>
          <a:chExt cx="223837" cy="280178"/>
        </a:xfrm>
      </xdr:grpSpPr>
      <xdr:sp macro="" textlink="">
        <xdr:nvSpPr>
          <xdr:cNvPr id="1194" name="Elipse 1193">
            <a:extLst>
              <a:ext uri="{FF2B5EF4-FFF2-40B4-BE49-F238E27FC236}">
                <a16:creationId xmlns:a16="http://schemas.microsoft.com/office/drawing/2014/main" id="{0732BC65-814B-C942-C327-809F36B44A0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95" name="CaixaDeTexto 1194">
            <a:extLst>
              <a:ext uri="{FF2B5EF4-FFF2-40B4-BE49-F238E27FC236}">
                <a16:creationId xmlns:a16="http://schemas.microsoft.com/office/drawing/2014/main" id="{B14C2F87-ADE9-89C1-6D3A-5B11A5A4C98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115</xdr:row>
      <xdr:rowOff>208213</xdr:rowOff>
    </xdr:from>
    <xdr:to>
      <xdr:col>7</xdr:col>
      <xdr:colOff>205343</xdr:colOff>
      <xdr:row>116</xdr:row>
      <xdr:rowOff>210861</xdr:rowOff>
    </xdr:to>
    <xdr:grpSp>
      <xdr:nvGrpSpPr>
        <xdr:cNvPr id="1196" name="Agrupar 1195">
          <a:extLst>
            <a:ext uri="{FF2B5EF4-FFF2-40B4-BE49-F238E27FC236}">
              <a16:creationId xmlns:a16="http://schemas.microsoft.com/office/drawing/2014/main" id="{92F3D380-8BA1-4A31-BCAE-C1EF75ED1E10}"/>
            </a:ext>
          </a:extLst>
        </xdr:cNvPr>
        <xdr:cNvGrpSpPr/>
      </xdr:nvGrpSpPr>
      <xdr:grpSpPr>
        <a:xfrm>
          <a:off x="6379010" y="25865428"/>
          <a:ext cx="182763" cy="224496"/>
          <a:chOff x="6572251" y="7468545"/>
          <a:chExt cx="223837" cy="280178"/>
        </a:xfrm>
      </xdr:grpSpPr>
      <xdr:sp macro="" textlink="">
        <xdr:nvSpPr>
          <xdr:cNvPr id="1197" name="Elipse 1196">
            <a:extLst>
              <a:ext uri="{FF2B5EF4-FFF2-40B4-BE49-F238E27FC236}">
                <a16:creationId xmlns:a16="http://schemas.microsoft.com/office/drawing/2014/main" id="{D12EA815-56A8-09AA-48B7-98E43E9EE72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98" name="CaixaDeTexto 1197">
            <a:extLst>
              <a:ext uri="{FF2B5EF4-FFF2-40B4-BE49-F238E27FC236}">
                <a16:creationId xmlns:a16="http://schemas.microsoft.com/office/drawing/2014/main" id="{6AE3C6FA-3373-3BF3-731C-8597E565B42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115</xdr:row>
      <xdr:rowOff>216783</xdr:rowOff>
    </xdr:from>
    <xdr:to>
      <xdr:col>7</xdr:col>
      <xdr:colOff>725408</xdr:colOff>
      <xdr:row>117</xdr:row>
      <xdr:rowOff>718</xdr:rowOff>
    </xdr:to>
    <xdr:grpSp>
      <xdr:nvGrpSpPr>
        <xdr:cNvPr id="1199" name="Agrupar 1198">
          <a:extLst>
            <a:ext uri="{FF2B5EF4-FFF2-40B4-BE49-F238E27FC236}">
              <a16:creationId xmlns:a16="http://schemas.microsoft.com/office/drawing/2014/main" id="{6DF69A7A-E79B-495E-BDD3-4F76C4FE565C}"/>
            </a:ext>
          </a:extLst>
        </xdr:cNvPr>
        <xdr:cNvGrpSpPr/>
      </xdr:nvGrpSpPr>
      <xdr:grpSpPr>
        <a:xfrm>
          <a:off x="6899075" y="25873998"/>
          <a:ext cx="182763" cy="227631"/>
          <a:chOff x="6572251" y="7477594"/>
          <a:chExt cx="223837" cy="280178"/>
        </a:xfrm>
      </xdr:grpSpPr>
      <xdr:sp macro="" textlink="">
        <xdr:nvSpPr>
          <xdr:cNvPr id="1200" name="Elipse 1199">
            <a:extLst>
              <a:ext uri="{FF2B5EF4-FFF2-40B4-BE49-F238E27FC236}">
                <a16:creationId xmlns:a16="http://schemas.microsoft.com/office/drawing/2014/main" id="{7138E69D-458C-C0C0-03B5-29521BEBE79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01" name="CaixaDeTexto 1200">
            <a:extLst>
              <a:ext uri="{FF2B5EF4-FFF2-40B4-BE49-F238E27FC236}">
                <a16:creationId xmlns:a16="http://schemas.microsoft.com/office/drawing/2014/main" id="{6C451555-5F24-FFFD-3B65-8698338B6E2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111</xdr:row>
      <xdr:rowOff>208213</xdr:rowOff>
    </xdr:from>
    <xdr:to>
      <xdr:col>7</xdr:col>
      <xdr:colOff>205343</xdr:colOff>
      <xdr:row>112</xdr:row>
      <xdr:rowOff>210861</xdr:rowOff>
    </xdr:to>
    <xdr:grpSp>
      <xdr:nvGrpSpPr>
        <xdr:cNvPr id="1202" name="Agrupar 1201">
          <a:extLst>
            <a:ext uri="{FF2B5EF4-FFF2-40B4-BE49-F238E27FC236}">
              <a16:creationId xmlns:a16="http://schemas.microsoft.com/office/drawing/2014/main" id="{017D111F-F715-49A1-9C65-7EE1BB63CC29}"/>
            </a:ext>
          </a:extLst>
        </xdr:cNvPr>
        <xdr:cNvGrpSpPr/>
      </xdr:nvGrpSpPr>
      <xdr:grpSpPr>
        <a:xfrm>
          <a:off x="6379010" y="24978036"/>
          <a:ext cx="182763" cy="224496"/>
          <a:chOff x="6572251" y="7468545"/>
          <a:chExt cx="223837" cy="280178"/>
        </a:xfrm>
      </xdr:grpSpPr>
      <xdr:sp macro="" textlink="">
        <xdr:nvSpPr>
          <xdr:cNvPr id="1203" name="Elipse 1202">
            <a:extLst>
              <a:ext uri="{FF2B5EF4-FFF2-40B4-BE49-F238E27FC236}">
                <a16:creationId xmlns:a16="http://schemas.microsoft.com/office/drawing/2014/main" id="{5D475186-909B-DE4F-5775-266E15ACE21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04" name="CaixaDeTexto 1203">
            <a:extLst>
              <a:ext uri="{FF2B5EF4-FFF2-40B4-BE49-F238E27FC236}">
                <a16:creationId xmlns:a16="http://schemas.microsoft.com/office/drawing/2014/main" id="{CFB71F64-32EE-C504-3AE6-1D9430BB208A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111</xdr:row>
      <xdr:rowOff>216783</xdr:rowOff>
    </xdr:from>
    <xdr:to>
      <xdr:col>7</xdr:col>
      <xdr:colOff>725408</xdr:colOff>
      <xdr:row>113</xdr:row>
      <xdr:rowOff>719</xdr:rowOff>
    </xdr:to>
    <xdr:grpSp>
      <xdr:nvGrpSpPr>
        <xdr:cNvPr id="1205" name="Agrupar 1204">
          <a:extLst>
            <a:ext uri="{FF2B5EF4-FFF2-40B4-BE49-F238E27FC236}">
              <a16:creationId xmlns:a16="http://schemas.microsoft.com/office/drawing/2014/main" id="{77BBD071-F590-4FF1-A013-91D95C2E4E47}"/>
            </a:ext>
          </a:extLst>
        </xdr:cNvPr>
        <xdr:cNvGrpSpPr/>
      </xdr:nvGrpSpPr>
      <xdr:grpSpPr>
        <a:xfrm>
          <a:off x="6899075" y="24986606"/>
          <a:ext cx="182763" cy="227632"/>
          <a:chOff x="6572251" y="7477594"/>
          <a:chExt cx="223837" cy="280178"/>
        </a:xfrm>
      </xdr:grpSpPr>
      <xdr:sp macro="" textlink="">
        <xdr:nvSpPr>
          <xdr:cNvPr id="1206" name="Elipse 1205">
            <a:extLst>
              <a:ext uri="{FF2B5EF4-FFF2-40B4-BE49-F238E27FC236}">
                <a16:creationId xmlns:a16="http://schemas.microsoft.com/office/drawing/2014/main" id="{35C25B20-5A00-4946-1FB2-69FB7434D33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07" name="CaixaDeTexto 1206">
            <a:extLst>
              <a:ext uri="{FF2B5EF4-FFF2-40B4-BE49-F238E27FC236}">
                <a16:creationId xmlns:a16="http://schemas.microsoft.com/office/drawing/2014/main" id="{F963EE51-E39C-7C01-21CD-BBBA58329FB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110</xdr:row>
      <xdr:rowOff>208213</xdr:rowOff>
    </xdr:from>
    <xdr:to>
      <xdr:col>7</xdr:col>
      <xdr:colOff>205343</xdr:colOff>
      <xdr:row>111</xdr:row>
      <xdr:rowOff>210861</xdr:rowOff>
    </xdr:to>
    <xdr:grpSp>
      <xdr:nvGrpSpPr>
        <xdr:cNvPr id="1208" name="Agrupar 1207">
          <a:extLst>
            <a:ext uri="{FF2B5EF4-FFF2-40B4-BE49-F238E27FC236}">
              <a16:creationId xmlns:a16="http://schemas.microsoft.com/office/drawing/2014/main" id="{56DC4632-B645-4E19-B47F-35CEB7647693}"/>
            </a:ext>
          </a:extLst>
        </xdr:cNvPr>
        <xdr:cNvGrpSpPr/>
      </xdr:nvGrpSpPr>
      <xdr:grpSpPr>
        <a:xfrm>
          <a:off x="6379010" y="24756188"/>
          <a:ext cx="182763" cy="224496"/>
          <a:chOff x="6572251" y="7468545"/>
          <a:chExt cx="223837" cy="280178"/>
        </a:xfrm>
      </xdr:grpSpPr>
      <xdr:sp macro="" textlink="">
        <xdr:nvSpPr>
          <xdr:cNvPr id="1209" name="Elipse 1208">
            <a:extLst>
              <a:ext uri="{FF2B5EF4-FFF2-40B4-BE49-F238E27FC236}">
                <a16:creationId xmlns:a16="http://schemas.microsoft.com/office/drawing/2014/main" id="{0713B1C6-BB0B-5EEF-BC09-DAFD847E49A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10" name="CaixaDeTexto 1209">
            <a:extLst>
              <a:ext uri="{FF2B5EF4-FFF2-40B4-BE49-F238E27FC236}">
                <a16:creationId xmlns:a16="http://schemas.microsoft.com/office/drawing/2014/main" id="{9F4D4FE9-88A2-5EB7-87B1-8BDD7224EA7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110</xdr:row>
      <xdr:rowOff>216783</xdr:rowOff>
    </xdr:from>
    <xdr:to>
      <xdr:col>7</xdr:col>
      <xdr:colOff>725408</xdr:colOff>
      <xdr:row>112</xdr:row>
      <xdr:rowOff>719</xdr:rowOff>
    </xdr:to>
    <xdr:grpSp>
      <xdr:nvGrpSpPr>
        <xdr:cNvPr id="1211" name="Agrupar 1210">
          <a:extLst>
            <a:ext uri="{FF2B5EF4-FFF2-40B4-BE49-F238E27FC236}">
              <a16:creationId xmlns:a16="http://schemas.microsoft.com/office/drawing/2014/main" id="{CA949CC7-AEAF-4DED-BEE4-9BC3F94783EF}"/>
            </a:ext>
          </a:extLst>
        </xdr:cNvPr>
        <xdr:cNvGrpSpPr/>
      </xdr:nvGrpSpPr>
      <xdr:grpSpPr>
        <a:xfrm>
          <a:off x="6899075" y="24764758"/>
          <a:ext cx="182763" cy="227632"/>
          <a:chOff x="6572251" y="7477594"/>
          <a:chExt cx="223837" cy="280178"/>
        </a:xfrm>
      </xdr:grpSpPr>
      <xdr:sp macro="" textlink="">
        <xdr:nvSpPr>
          <xdr:cNvPr id="1212" name="Elipse 1211">
            <a:extLst>
              <a:ext uri="{FF2B5EF4-FFF2-40B4-BE49-F238E27FC236}">
                <a16:creationId xmlns:a16="http://schemas.microsoft.com/office/drawing/2014/main" id="{2ACE14BA-D157-1B84-8C86-07AE33AFB29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13" name="CaixaDeTexto 1212">
            <a:extLst>
              <a:ext uri="{FF2B5EF4-FFF2-40B4-BE49-F238E27FC236}">
                <a16:creationId xmlns:a16="http://schemas.microsoft.com/office/drawing/2014/main" id="{C9512CAF-63E9-2EA7-F8A0-CFA66091382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118</xdr:row>
      <xdr:rowOff>208213</xdr:rowOff>
    </xdr:from>
    <xdr:to>
      <xdr:col>7</xdr:col>
      <xdr:colOff>205343</xdr:colOff>
      <xdr:row>119</xdr:row>
      <xdr:rowOff>210861</xdr:rowOff>
    </xdr:to>
    <xdr:grpSp>
      <xdr:nvGrpSpPr>
        <xdr:cNvPr id="1214" name="Agrupar 1213">
          <a:extLst>
            <a:ext uri="{FF2B5EF4-FFF2-40B4-BE49-F238E27FC236}">
              <a16:creationId xmlns:a16="http://schemas.microsoft.com/office/drawing/2014/main" id="{451ECC3A-8C18-43C4-A0AE-AA41EE80DDAF}"/>
            </a:ext>
          </a:extLst>
        </xdr:cNvPr>
        <xdr:cNvGrpSpPr/>
      </xdr:nvGrpSpPr>
      <xdr:grpSpPr>
        <a:xfrm>
          <a:off x="6379010" y="26530972"/>
          <a:ext cx="182763" cy="224497"/>
          <a:chOff x="6572251" y="7468545"/>
          <a:chExt cx="223837" cy="280178"/>
        </a:xfrm>
      </xdr:grpSpPr>
      <xdr:sp macro="" textlink="">
        <xdr:nvSpPr>
          <xdr:cNvPr id="1215" name="Elipse 1214">
            <a:extLst>
              <a:ext uri="{FF2B5EF4-FFF2-40B4-BE49-F238E27FC236}">
                <a16:creationId xmlns:a16="http://schemas.microsoft.com/office/drawing/2014/main" id="{87E644D5-93B3-9649-A9CB-A859CF22A30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16" name="CaixaDeTexto 1215">
            <a:extLst>
              <a:ext uri="{FF2B5EF4-FFF2-40B4-BE49-F238E27FC236}">
                <a16:creationId xmlns:a16="http://schemas.microsoft.com/office/drawing/2014/main" id="{111B1151-862F-1CE4-304D-FAE17F0B138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118</xdr:row>
      <xdr:rowOff>216783</xdr:rowOff>
    </xdr:from>
    <xdr:to>
      <xdr:col>7</xdr:col>
      <xdr:colOff>725408</xdr:colOff>
      <xdr:row>120</xdr:row>
      <xdr:rowOff>718</xdr:rowOff>
    </xdr:to>
    <xdr:grpSp>
      <xdr:nvGrpSpPr>
        <xdr:cNvPr id="1217" name="Agrupar 1216">
          <a:extLst>
            <a:ext uri="{FF2B5EF4-FFF2-40B4-BE49-F238E27FC236}">
              <a16:creationId xmlns:a16="http://schemas.microsoft.com/office/drawing/2014/main" id="{F633D18F-1903-4D78-87CF-E1BD8F740029}"/>
            </a:ext>
          </a:extLst>
        </xdr:cNvPr>
        <xdr:cNvGrpSpPr/>
      </xdr:nvGrpSpPr>
      <xdr:grpSpPr>
        <a:xfrm>
          <a:off x="6899075" y="26539542"/>
          <a:ext cx="182763" cy="227632"/>
          <a:chOff x="6572251" y="7477594"/>
          <a:chExt cx="223837" cy="280178"/>
        </a:xfrm>
      </xdr:grpSpPr>
      <xdr:sp macro="" textlink="">
        <xdr:nvSpPr>
          <xdr:cNvPr id="1218" name="Elipse 1217">
            <a:extLst>
              <a:ext uri="{FF2B5EF4-FFF2-40B4-BE49-F238E27FC236}">
                <a16:creationId xmlns:a16="http://schemas.microsoft.com/office/drawing/2014/main" id="{05D4575D-014F-271B-EB83-147D6E89A14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19" name="CaixaDeTexto 1218">
            <a:extLst>
              <a:ext uri="{FF2B5EF4-FFF2-40B4-BE49-F238E27FC236}">
                <a16:creationId xmlns:a16="http://schemas.microsoft.com/office/drawing/2014/main" id="{063DD98F-197D-835F-A8DF-5FB7609BAC8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119</xdr:row>
      <xdr:rowOff>208213</xdr:rowOff>
    </xdr:from>
    <xdr:to>
      <xdr:col>7</xdr:col>
      <xdr:colOff>205343</xdr:colOff>
      <xdr:row>120</xdr:row>
      <xdr:rowOff>210861</xdr:rowOff>
    </xdr:to>
    <xdr:grpSp>
      <xdr:nvGrpSpPr>
        <xdr:cNvPr id="1220" name="Agrupar 1219">
          <a:extLst>
            <a:ext uri="{FF2B5EF4-FFF2-40B4-BE49-F238E27FC236}">
              <a16:creationId xmlns:a16="http://schemas.microsoft.com/office/drawing/2014/main" id="{1BDA26A9-09E2-4135-9F9E-ECB14BF21A0E}"/>
            </a:ext>
          </a:extLst>
        </xdr:cNvPr>
        <xdr:cNvGrpSpPr/>
      </xdr:nvGrpSpPr>
      <xdr:grpSpPr>
        <a:xfrm>
          <a:off x="6379010" y="26752821"/>
          <a:ext cx="182763" cy="224496"/>
          <a:chOff x="6572251" y="7468545"/>
          <a:chExt cx="223837" cy="280178"/>
        </a:xfrm>
      </xdr:grpSpPr>
      <xdr:sp macro="" textlink="">
        <xdr:nvSpPr>
          <xdr:cNvPr id="1221" name="Elipse 1220">
            <a:extLst>
              <a:ext uri="{FF2B5EF4-FFF2-40B4-BE49-F238E27FC236}">
                <a16:creationId xmlns:a16="http://schemas.microsoft.com/office/drawing/2014/main" id="{12B4EB4D-C450-8650-FB9E-29EBF541738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22" name="CaixaDeTexto 1221">
            <a:extLst>
              <a:ext uri="{FF2B5EF4-FFF2-40B4-BE49-F238E27FC236}">
                <a16:creationId xmlns:a16="http://schemas.microsoft.com/office/drawing/2014/main" id="{5B1BDD93-85CA-4315-E4B4-F324445441A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119</xdr:row>
      <xdr:rowOff>216783</xdr:rowOff>
    </xdr:from>
    <xdr:to>
      <xdr:col>7</xdr:col>
      <xdr:colOff>725408</xdr:colOff>
      <xdr:row>121</xdr:row>
      <xdr:rowOff>719</xdr:rowOff>
    </xdr:to>
    <xdr:grpSp>
      <xdr:nvGrpSpPr>
        <xdr:cNvPr id="1223" name="Agrupar 1222">
          <a:extLst>
            <a:ext uri="{FF2B5EF4-FFF2-40B4-BE49-F238E27FC236}">
              <a16:creationId xmlns:a16="http://schemas.microsoft.com/office/drawing/2014/main" id="{9714DDE6-BB96-47F7-A94F-B8030CFE4F62}"/>
            </a:ext>
          </a:extLst>
        </xdr:cNvPr>
        <xdr:cNvGrpSpPr/>
      </xdr:nvGrpSpPr>
      <xdr:grpSpPr>
        <a:xfrm>
          <a:off x="6899075" y="26761391"/>
          <a:ext cx="182763" cy="227632"/>
          <a:chOff x="6572251" y="7477594"/>
          <a:chExt cx="223837" cy="280178"/>
        </a:xfrm>
      </xdr:grpSpPr>
      <xdr:sp macro="" textlink="">
        <xdr:nvSpPr>
          <xdr:cNvPr id="1224" name="Elipse 1223">
            <a:extLst>
              <a:ext uri="{FF2B5EF4-FFF2-40B4-BE49-F238E27FC236}">
                <a16:creationId xmlns:a16="http://schemas.microsoft.com/office/drawing/2014/main" id="{9D4B1507-567E-3EE3-15AB-79A946C2967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25" name="CaixaDeTexto 1224">
            <a:extLst>
              <a:ext uri="{FF2B5EF4-FFF2-40B4-BE49-F238E27FC236}">
                <a16:creationId xmlns:a16="http://schemas.microsoft.com/office/drawing/2014/main" id="{FB6577F3-26C3-F4D8-B956-798DF9E7240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120</xdr:row>
      <xdr:rowOff>208213</xdr:rowOff>
    </xdr:from>
    <xdr:to>
      <xdr:col>7</xdr:col>
      <xdr:colOff>205343</xdr:colOff>
      <xdr:row>121</xdr:row>
      <xdr:rowOff>210861</xdr:rowOff>
    </xdr:to>
    <xdr:grpSp>
      <xdr:nvGrpSpPr>
        <xdr:cNvPr id="1226" name="Agrupar 1225">
          <a:extLst>
            <a:ext uri="{FF2B5EF4-FFF2-40B4-BE49-F238E27FC236}">
              <a16:creationId xmlns:a16="http://schemas.microsoft.com/office/drawing/2014/main" id="{2B1DD79A-CDE6-4920-97B2-629FFC79F5A5}"/>
            </a:ext>
          </a:extLst>
        </xdr:cNvPr>
        <xdr:cNvGrpSpPr/>
      </xdr:nvGrpSpPr>
      <xdr:grpSpPr>
        <a:xfrm>
          <a:off x="6379010" y="26974669"/>
          <a:ext cx="182763" cy="224496"/>
          <a:chOff x="6572251" y="7468545"/>
          <a:chExt cx="223837" cy="280178"/>
        </a:xfrm>
      </xdr:grpSpPr>
      <xdr:sp macro="" textlink="">
        <xdr:nvSpPr>
          <xdr:cNvPr id="1227" name="Elipse 1226">
            <a:extLst>
              <a:ext uri="{FF2B5EF4-FFF2-40B4-BE49-F238E27FC236}">
                <a16:creationId xmlns:a16="http://schemas.microsoft.com/office/drawing/2014/main" id="{F7FBA429-9E30-00E3-0AE6-9EA16260B71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28" name="CaixaDeTexto 1227">
            <a:extLst>
              <a:ext uri="{FF2B5EF4-FFF2-40B4-BE49-F238E27FC236}">
                <a16:creationId xmlns:a16="http://schemas.microsoft.com/office/drawing/2014/main" id="{BC16FF64-3673-6CF8-33F8-9F5E03210CB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120</xdr:row>
      <xdr:rowOff>216783</xdr:rowOff>
    </xdr:from>
    <xdr:to>
      <xdr:col>7</xdr:col>
      <xdr:colOff>725408</xdr:colOff>
      <xdr:row>122</xdr:row>
      <xdr:rowOff>719</xdr:rowOff>
    </xdr:to>
    <xdr:grpSp>
      <xdr:nvGrpSpPr>
        <xdr:cNvPr id="1229" name="Agrupar 1228">
          <a:extLst>
            <a:ext uri="{FF2B5EF4-FFF2-40B4-BE49-F238E27FC236}">
              <a16:creationId xmlns:a16="http://schemas.microsoft.com/office/drawing/2014/main" id="{ABDAD8D4-E695-4B50-8C83-9E3CC932F525}"/>
            </a:ext>
          </a:extLst>
        </xdr:cNvPr>
        <xdr:cNvGrpSpPr/>
      </xdr:nvGrpSpPr>
      <xdr:grpSpPr>
        <a:xfrm>
          <a:off x="6899075" y="26983239"/>
          <a:ext cx="182763" cy="227632"/>
          <a:chOff x="6572251" y="7477594"/>
          <a:chExt cx="223837" cy="280178"/>
        </a:xfrm>
      </xdr:grpSpPr>
      <xdr:sp macro="" textlink="">
        <xdr:nvSpPr>
          <xdr:cNvPr id="1230" name="Elipse 1229">
            <a:extLst>
              <a:ext uri="{FF2B5EF4-FFF2-40B4-BE49-F238E27FC236}">
                <a16:creationId xmlns:a16="http://schemas.microsoft.com/office/drawing/2014/main" id="{F5585F88-371A-D5EE-BB4D-42A162A76A4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31" name="CaixaDeTexto 1230">
            <a:extLst>
              <a:ext uri="{FF2B5EF4-FFF2-40B4-BE49-F238E27FC236}">
                <a16:creationId xmlns:a16="http://schemas.microsoft.com/office/drawing/2014/main" id="{0BD3576B-9250-4621-27AC-D84BC881FF3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117</xdr:row>
      <xdr:rowOff>208213</xdr:rowOff>
    </xdr:from>
    <xdr:to>
      <xdr:col>7</xdr:col>
      <xdr:colOff>205343</xdr:colOff>
      <xdr:row>118</xdr:row>
      <xdr:rowOff>210861</xdr:rowOff>
    </xdr:to>
    <xdr:grpSp>
      <xdr:nvGrpSpPr>
        <xdr:cNvPr id="1232" name="Agrupar 1231">
          <a:extLst>
            <a:ext uri="{FF2B5EF4-FFF2-40B4-BE49-F238E27FC236}">
              <a16:creationId xmlns:a16="http://schemas.microsoft.com/office/drawing/2014/main" id="{E539F9A4-633F-4BCA-AA0A-03E20A56FEC4}"/>
            </a:ext>
          </a:extLst>
        </xdr:cNvPr>
        <xdr:cNvGrpSpPr/>
      </xdr:nvGrpSpPr>
      <xdr:grpSpPr>
        <a:xfrm>
          <a:off x="6379010" y="26309124"/>
          <a:ext cx="182763" cy="224496"/>
          <a:chOff x="6572251" y="7468545"/>
          <a:chExt cx="223837" cy="280178"/>
        </a:xfrm>
      </xdr:grpSpPr>
      <xdr:sp macro="" textlink="">
        <xdr:nvSpPr>
          <xdr:cNvPr id="1233" name="Elipse 1232">
            <a:extLst>
              <a:ext uri="{FF2B5EF4-FFF2-40B4-BE49-F238E27FC236}">
                <a16:creationId xmlns:a16="http://schemas.microsoft.com/office/drawing/2014/main" id="{3B72F57F-21ED-B416-A292-3435EB4AF1B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34" name="CaixaDeTexto 1233">
            <a:extLst>
              <a:ext uri="{FF2B5EF4-FFF2-40B4-BE49-F238E27FC236}">
                <a16:creationId xmlns:a16="http://schemas.microsoft.com/office/drawing/2014/main" id="{E2735780-43C6-54B0-1BB3-B7C96327C2D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117</xdr:row>
      <xdr:rowOff>216783</xdr:rowOff>
    </xdr:from>
    <xdr:to>
      <xdr:col>7</xdr:col>
      <xdr:colOff>725408</xdr:colOff>
      <xdr:row>119</xdr:row>
      <xdr:rowOff>719</xdr:rowOff>
    </xdr:to>
    <xdr:grpSp>
      <xdr:nvGrpSpPr>
        <xdr:cNvPr id="1235" name="Agrupar 1234">
          <a:extLst>
            <a:ext uri="{FF2B5EF4-FFF2-40B4-BE49-F238E27FC236}">
              <a16:creationId xmlns:a16="http://schemas.microsoft.com/office/drawing/2014/main" id="{36624ED3-4D25-41E6-964C-ACD55634C87C}"/>
            </a:ext>
          </a:extLst>
        </xdr:cNvPr>
        <xdr:cNvGrpSpPr/>
      </xdr:nvGrpSpPr>
      <xdr:grpSpPr>
        <a:xfrm>
          <a:off x="6899075" y="26317694"/>
          <a:ext cx="182763" cy="227633"/>
          <a:chOff x="6572251" y="7477594"/>
          <a:chExt cx="223837" cy="280178"/>
        </a:xfrm>
      </xdr:grpSpPr>
      <xdr:sp macro="" textlink="">
        <xdr:nvSpPr>
          <xdr:cNvPr id="1236" name="Elipse 1235">
            <a:extLst>
              <a:ext uri="{FF2B5EF4-FFF2-40B4-BE49-F238E27FC236}">
                <a16:creationId xmlns:a16="http://schemas.microsoft.com/office/drawing/2014/main" id="{97F42965-53E1-42EE-2AE2-E30CD4EC3DC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37" name="CaixaDeTexto 1236">
            <a:extLst>
              <a:ext uri="{FF2B5EF4-FFF2-40B4-BE49-F238E27FC236}">
                <a16:creationId xmlns:a16="http://schemas.microsoft.com/office/drawing/2014/main" id="{D988C0DF-E6D0-8247-FDFB-E8DC0B0A0F1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117</xdr:row>
      <xdr:rowOff>208213</xdr:rowOff>
    </xdr:from>
    <xdr:to>
      <xdr:col>7</xdr:col>
      <xdr:colOff>205343</xdr:colOff>
      <xdr:row>118</xdr:row>
      <xdr:rowOff>210861</xdr:rowOff>
    </xdr:to>
    <xdr:grpSp>
      <xdr:nvGrpSpPr>
        <xdr:cNvPr id="1238" name="Agrupar 1237">
          <a:extLst>
            <a:ext uri="{FF2B5EF4-FFF2-40B4-BE49-F238E27FC236}">
              <a16:creationId xmlns:a16="http://schemas.microsoft.com/office/drawing/2014/main" id="{31F2A6E2-4F76-48B1-8A61-A8D67E4A0FCB}"/>
            </a:ext>
          </a:extLst>
        </xdr:cNvPr>
        <xdr:cNvGrpSpPr/>
      </xdr:nvGrpSpPr>
      <xdr:grpSpPr>
        <a:xfrm>
          <a:off x="6379010" y="26309124"/>
          <a:ext cx="182763" cy="224496"/>
          <a:chOff x="6572251" y="7468545"/>
          <a:chExt cx="223837" cy="280178"/>
        </a:xfrm>
      </xdr:grpSpPr>
      <xdr:sp macro="" textlink="">
        <xdr:nvSpPr>
          <xdr:cNvPr id="1239" name="Elipse 1238">
            <a:extLst>
              <a:ext uri="{FF2B5EF4-FFF2-40B4-BE49-F238E27FC236}">
                <a16:creationId xmlns:a16="http://schemas.microsoft.com/office/drawing/2014/main" id="{063E3BC7-6143-281B-8C0D-B64D0211758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40" name="CaixaDeTexto 1239">
            <a:extLst>
              <a:ext uri="{FF2B5EF4-FFF2-40B4-BE49-F238E27FC236}">
                <a16:creationId xmlns:a16="http://schemas.microsoft.com/office/drawing/2014/main" id="{BE3C5102-6D58-EC9F-354C-614FBFD2414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117</xdr:row>
      <xdr:rowOff>216783</xdr:rowOff>
    </xdr:from>
    <xdr:to>
      <xdr:col>7</xdr:col>
      <xdr:colOff>725408</xdr:colOff>
      <xdr:row>119</xdr:row>
      <xdr:rowOff>719</xdr:rowOff>
    </xdr:to>
    <xdr:grpSp>
      <xdr:nvGrpSpPr>
        <xdr:cNvPr id="1241" name="Agrupar 1240">
          <a:extLst>
            <a:ext uri="{FF2B5EF4-FFF2-40B4-BE49-F238E27FC236}">
              <a16:creationId xmlns:a16="http://schemas.microsoft.com/office/drawing/2014/main" id="{36BC4C98-B6E6-4712-B95F-3091B9A40D13}"/>
            </a:ext>
          </a:extLst>
        </xdr:cNvPr>
        <xdr:cNvGrpSpPr/>
      </xdr:nvGrpSpPr>
      <xdr:grpSpPr>
        <a:xfrm>
          <a:off x="6899075" y="26317694"/>
          <a:ext cx="182763" cy="227633"/>
          <a:chOff x="6572251" y="7477594"/>
          <a:chExt cx="223837" cy="280178"/>
        </a:xfrm>
      </xdr:grpSpPr>
      <xdr:sp macro="" textlink="">
        <xdr:nvSpPr>
          <xdr:cNvPr id="1242" name="Elipse 1241">
            <a:extLst>
              <a:ext uri="{FF2B5EF4-FFF2-40B4-BE49-F238E27FC236}">
                <a16:creationId xmlns:a16="http://schemas.microsoft.com/office/drawing/2014/main" id="{CD55FE4A-CAB2-55BF-4225-2B060D0949A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43" name="CaixaDeTexto 1242">
            <a:extLst>
              <a:ext uri="{FF2B5EF4-FFF2-40B4-BE49-F238E27FC236}">
                <a16:creationId xmlns:a16="http://schemas.microsoft.com/office/drawing/2014/main" id="{D082E145-CF81-404B-EFC0-3010465865F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116</xdr:row>
      <xdr:rowOff>208213</xdr:rowOff>
    </xdr:from>
    <xdr:to>
      <xdr:col>7</xdr:col>
      <xdr:colOff>205343</xdr:colOff>
      <xdr:row>117</xdr:row>
      <xdr:rowOff>210861</xdr:rowOff>
    </xdr:to>
    <xdr:grpSp>
      <xdr:nvGrpSpPr>
        <xdr:cNvPr id="1244" name="Agrupar 1243">
          <a:extLst>
            <a:ext uri="{FF2B5EF4-FFF2-40B4-BE49-F238E27FC236}">
              <a16:creationId xmlns:a16="http://schemas.microsoft.com/office/drawing/2014/main" id="{1907C0AF-58C4-4EAA-A83A-1D9B75A49827}"/>
            </a:ext>
          </a:extLst>
        </xdr:cNvPr>
        <xdr:cNvGrpSpPr/>
      </xdr:nvGrpSpPr>
      <xdr:grpSpPr>
        <a:xfrm>
          <a:off x="6379010" y="26087276"/>
          <a:ext cx="182763" cy="224496"/>
          <a:chOff x="6572251" y="7468545"/>
          <a:chExt cx="223837" cy="280178"/>
        </a:xfrm>
      </xdr:grpSpPr>
      <xdr:sp macro="" textlink="">
        <xdr:nvSpPr>
          <xdr:cNvPr id="1245" name="Elipse 1244">
            <a:extLst>
              <a:ext uri="{FF2B5EF4-FFF2-40B4-BE49-F238E27FC236}">
                <a16:creationId xmlns:a16="http://schemas.microsoft.com/office/drawing/2014/main" id="{142C0A82-3B65-C720-9369-44B3C391364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46" name="CaixaDeTexto 1245">
            <a:extLst>
              <a:ext uri="{FF2B5EF4-FFF2-40B4-BE49-F238E27FC236}">
                <a16:creationId xmlns:a16="http://schemas.microsoft.com/office/drawing/2014/main" id="{BFE21AD5-01CA-D6B7-65BD-A362613DD1DC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116</xdr:row>
      <xdr:rowOff>216783</xdr:rowOff>
    </xdr:from>
    <xdr:to>
      <xdr:col>7</xdr:col>
      <xdr:colOff>725408</xdr:colOff>
      <xdr:row>118</xdr:row>
      <xdr:rowOff>719</xdr:rowOff>
    </xdr:to>
    <xdr:grpSp>
      <xdr:nvGrpSpPr>
        <xdr:cNvPr id="1247" name="Agrupar 1246">
          <a:extLst>
            <a:ext uri="{FF2B5EF4-FFF2-40B4-BE49-F238E27FC236}">
              <a16:creationId xmlns:a16="http://schemas.microsoft.com/office/drawing/2014/main" id="{5C91D2F7-2636-46AE-90C0-7E64D6AF4191}"/>
            </a:ext>
          </a:extLst>
        </xdr:cNvPr>
        <xdr:cNvGrpSpPr/>
      </xdr:nvGrpSpPr>
      <xdr:grpSpPr>
        <a:xfrm>
          <a:off x="6899075" y="26095846"/>
          <a:ext cx="182763" cy="227632"/>
          <a:chOff x="6572251" y="7477594"/>
          <a:chExt cx="223837" cy="280178"/>
        </a:xfrm>
      </xdr:grpSpPr>
      <xdr:sp macro="" textlink="">
        <xdr:nvSpPr>
          <xdr:cNvPr id="1248" name="Elipse 1247">
            <a:extLst>
              <a:ext uri="{FF2B5EF4-FFF2-40B4-BE49-F238E27FC236}">
                <a16:creationId xmlns:a16="http://schemas.microsoft.com/office/drawing/2014/main" id="{9A664100-7465-6BC8-1398-8607B13EB77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49" name="CaixaDeTexto 1248">
            <a:extLst>
              <a:ext uri="{FF2B5EF4-FFF2-40B4-BE49-F238E27FC236}">
                <a16:creationId xmlns:a16="http://schemas.microsoft.com/office/drawing/2014/main" id="{8249C8A6-7303-11E8-F08D-C36A9C8C41E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121</xdr:row>
      <xdr:rowOff>208213</xdr:rowOff>
    </xdr:from>
    <xdr:to>
      <xdr:col>7</xdr:col>
      <xdr:colOff>205343</xdr:colOff>
      <xdr:row>122</xdr:row>
      <xdr:rowOff>210861</xdr:rowOff>
    </xdr:to>
    <xdr:grpSp>
      <xdr:nvGrpSpPr>
        <xdr:cNvPr id="1250" name="Agrupar 1249">
          <a:extLst>
            <a:ext uri="{FF2B5EF4-FFF2-40B4-BE49-F238E27FC236}">
              <a16:creationId xmlns:a16="http://schemas.microsoft.com/office/drawing/2014/main" id="{BA6CD6F3-4D09-4BAF-9937-7B27C3A1702A}"/>
            </a:ext>
          </a:extLst>
        </xdr:cNvPr>
        <xdr:cNvGrpSpPr/>
      </xdr:nvGrpSpPr>
      <xdr:grpSpPr>
        <a:xfrm>
          <a:off x="6379010" y="27196517"/>
          <a:ext cx="182763" cy="224496"/>
          <a:chOff x="6572251" y="7468545"/>
          <a:chExt cx="223837" cy="280178"/>
        </a:xfrm>
      </xdr:grpSpPr>
      <xdr:sp macro="" textlink="">
        <xdr:nvSpPr>
          <xdr:cNvPr id="1251" name="Elipse 1250">
            <a:extLst>
              <a:ext uri="{FF2B5EF4-FFF2-40B4-BE49-F238E27FC236}">
                <a16:creationId xmlns:a16="http://schemas.microsoft.com/office/drawing/2014/main" id="{5F308556-49F4-E7FC-A2EB-200338F7493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52" name="CaixaDeTexto 1251">
            <a:extLst>
              <a:ext uri="{FF2B5EF4-FFF2-40B4-BE49-F238E27FC236}">
                <a16:creationId xmlns:a16="http://schemas.microsoft.com/office/drawing/2014/main" id="{B20BE393-C511-D62C-2764-25B0BB99509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121</xdr:row>
      <xdr:rowOff>216783</xdr:rowOff>
    </xdr:from>
    <xdr:to>
      <xdr:col>7</xdr:col>
      <xdr:colOff>725408</xdr:colOff>
      <xdr:row>123</xdr:row>
      <xdr:rowOff>718</xdr:rowOff>
    </xdr:to>
    <xdr:grpSp>
      <xdr:nvGrpSpPr>
        <xdr:cNvPr id="1253" name="Agrupar 1252">
          <a:extLst>
            <a:ext uri="{FF2B5EF4-FFF2-40B4-BE49-F238E27FC236}">
              <a16:creationId xmlns:a16="http://schemas.microsoft.com/office/drawing/2014/main" id="{61779F11-CAA1-4903-BA6B-AA8CD49A6E35}"/>
            </a:ext>
          </a:extLst>
        </xdr:cNvPr>
        <xdr:cNvGrpSpPr/>
      </xdr:nvGrpSpPr>
      <xdr:grpSpPr>
        <a:xfrm>
          <a:off x="6899075" y="27205087"/>
          <a:ext cx="182763" cy="227631"/>
          <a:chOff x="6572251" y="7477594"/>
          <a:chExt cx="223837" cy="280178"/>
        </a:xfrm>
      </xdr:grpSpPr>
      <xdr:sp macro="" textlink="">
        <xdr:nvSpPr>
          <xdr:cNvPr id="1254" name="Elipse 1253">
            <a:extLst>
              <a:ext uri="{FF2B5EF4-FFF2-40B4-BE49-F238E27FC236}">
                <a16:creationId xmlns:a16="http://schemas.microsoft.com/office/drawing/2014/main" id="{7FF2FBED-BC50-2451-19B0-FED9E0BA345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55" name="CaixaDeTexto 1254">
            <a:extLst>
              <a:ext uri="{FF2B5EF4-FFF2-40B4-BE49-F238E27FC236}">
                <a16:creationId xmlns:a16="http://schemas.microsoft.com/office/drawing/2014/main" id="{3209798A-0B1B-A964-8C6A-012A0239AFC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122</xdr:row>
      <xdr:rowOff>208213</xdr:rowOff>
    </xdr:from>
    <xdr:to>
      <xdr:col>7</xdr:col>
      <xdr:colOff>205343</xdr:colOff>
      <xdr:row>123</xdr:row>
      <xdr:rowOff>210861</xdr:rowOff>
    </xdr:to>
    <xdr:grpSp>
      <xdr:nvGrpSpPr>
        <xdr:cNvPr id="1256" name="Agrupar 1255">
          <a:extLst>
            <a:ext uri="{FF2B5EF4-FFF2-40B4-BE49-F238E27FC236}">
              <a16:creationId xmlns:a16="http://schemas.microsoft.com/office/drawing/2014/main" id="{4515C349-538A-44CF-A541-208A85F60DA2}"/>
            </a:ext>
          </a:extLst>
        </xdr:cNvPr>
        <xdr:cNvGrpSpPr/>
      </xdr:nvGrpSpPr>
      <xdr:grpSpPr>
        <a:xfrm>
          <a:off x="6379010" y="27418365"/>
          <a:ext cx="182763" cy="224496"/>
          <a:chOff x="6572251" y="7468545"/>
          <a:chExt cx="223837" cy="280178"/>
        </a:xfrm>
      </xdr:grpSpPr>
      <xdr:sp macro="" textlink="">
        <xdr:nvSpPr>
          <xdr:cNvPr id="1257" name="Elipse 1256">
            <a:extLst>
              <a:ext uri="{FF2B5EF4-FFF2-40B4-BE49-F238E27FC236}">
                <a16:creationId xmlns:a16="http://schemas.microsoft.com/office/drawing/2014/main" id="{F7BED35D-C849-4394-7628-06BF26E4D92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58" name="CaixaDeTexto 1257">
            <a:extLst>
              <a:ext uri="{FF2B5EF4-FFF2-40B4-BE49-F238E27FC236}">
                <a16:creationId xmlns:a16="http://schemas.microsoft.com/office/drawing/2014/main" id="{93BD706F-F491-8527-9843-4ED5A89498B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122</xdr:row>
      <xdr:rowOff>216783</xdr:rowOff>
    </xdr:from>
    <xdr:to>
      <xdr:col>7</xdr:col>
      <xdr:colOff>725408</xdr:colOff>
      <xdr:row>124</xdr:row>
      <xdr:rowOff>719</xdr:rowOff>
    </xdr:to>
    <xdr:grpSp>
      <xdr:nvGrpSpPr>
        <xdr:cNvPr id="1259" name="Agrupar 1258">
          <a:extLst>
            <a:ext uri="{FF2B5EF4-FFF2-40B4-BE49-F238E27FC236}">
              <a16:creationId xmlns:a16="http://schemas.microsoft.com/office/drawing/2014/main" id="{D7FE9653-ACFD-463F-8DCD-9CD4165DC393}"/>
            </a:ext>
          </a:extLst>
        </xdr:cNvPr>
        <xdr:cNvGrpSpPr/>
      </xdr:nvGrpSpPr>
      <xdr:grpSpPr>
        <a:xfrm>
          <a:off x="6899075" y="27426935"/>
          <a:ext cx="182763" cy="227632"/>
          <a:chOff x="6572251" y="7477594"/>
          <a:chExt cx="223837" cy="280178"/>
        </a:xfrm>
      </xdr:grpSpPr>
      <xdr:sp macro="" textlink="">
        <xdr:nvSpPr>
          <xdr:cNvPr id="1260" name="Elipse 1259">
            <a:extLst>
              <a:ext uri="{FF2B5EF4-FFF2-40B4-BE49-F238E27FC236}">
                <a16:creationId xmlns:a16="http://schemas.microsoft.com/office/drawing/2014/main" id="{D8894C0F-984C-CB58-D74E-D0247F78A4F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62D19DBB-E2DA-D338-166C-738D9C5C5E8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123</xdr:row>
      <xdr:rowOff>208213</xdr:rowOff>
    </xdr:from>
    <xdr:to>
      <xdr:col>7</xdr:col>
      <xdr:colOff>205343</xdr:colOff>
      <xdr:row>124</xdr:row>
      <xdr:rowOff>210861</xdr:rowOff>
    </xdr:to>
    <xdr:grpSp>
      <xdr:nvGrpSpPr>
        <xdr:cNvPr id="1262" name="Agrupar 1261">
          <a:extLst>
            <a:ext uri="{FF2B5EF4-FFF2-40B4-BE49-F238E27FC236}">
              <a16:creationId xmlns:a16="http://schemas.microsoft.com/office/drawing/2014/main" id="{3FB97FEC-CC3B-41B2-B8C7-454A3A8E15A5}"/>
            </a:ext>
          </a:extLst>
        </xdr:cNvPr>
        <xdr:cNvGrpSpPr/>
      </xdr:nvGrpSpPr>
      <xdr:grpSpPr>
        <a:xfrm>
          <a:off x="6379010" y="27640213"/>
          <a:ext cx="182763" cy="224496"/>
          <a:chOff x="6572251" y="7468545"/>
          <a:chExt cx="223837" cy="280178"/>
        </a:xfrm>
      </xdr:grpSpPr>
      <xdr:sp macro="" textlink="">
        <xdr:nvSpPr>
          <xdr:cNvPr id="1263" name="Elipse 1262">
            <a:extLst>
              <a:ext uri="{FF2B5EF4-FFF2-40B4-BE49-F238E27FC236}">
                <a16:creationId xmlns:a16="http://schemas.microsoft.com/office/drawing/2014/main" id="{3DBE8416-B9E0-F5B7-C712-78822104F7F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A6B38B2C-47DA-7E6A-E064-1D6C0CCA865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123</xdr:row>
      <xdr:rowOff>216783</xdr:rowOff>
    </xdr:from>
    <xdr:to>
      <xdr:col>7</xdr:col>
      <xdr:colOff>725408</xdr:colOff>
      <xdr:row>125</xdr:row>
      <xdr:rowOff>719</xdr:rowOff>
    </xdr:to>
    <xdr:grpSp>
      <xdr:nvGrpSpPr>
        <xdr:cNvPr id="1265" name="Agrupar 1264">
          <a:extLst>
            <a:ext uri="{FF2B5EF4-FFF2-40B4-BE49-F238E27FC236}">
              <a16:creationId xmlns:a16="http://schemas.microsoft.com/office/drawing/2014/main" id="{2E5ED51E-8FA9-49E3-88F5-90EB12957821}"/>
            </a:ext>
          </a:extLst>
        </xdr:cNvPr>
        <xdr:cNvGrpSpPr/>
      </xdr:nvGrpSpPr>
      <xdr:grpSpPr>
        <a:xfrm>
          <a:off x="6899075" y="27648783"/>
          <a:ext cx="182763" cy="227632"/>
          <a:chOff x="6572251" y="7477594"/>
          <a:chExt cx="223837" cy="280178"/>
        </a:xfrm>
      </xdr:grpSpPr>
      <xdr:sp macro="" textlink="">
        <xdr:nvSpPr>
          <xdr:cNvPr id="1266" name="Elipse 1265">
            <a:extLst>
              <a:ext uri="{FF2B5EF4-FFF2-40B4-BE49-F238E27FC236}">
                <a16:creationId xmlns:a16="http://schemas.microsoft.com/office/drawing/2014/main" id="{7602418B-38BD-31F4-3D56-6FF1E5F4107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5FDE8424-BAB8-73E8-FED4-9CDF419AC42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124</xdr:row>
      <xdr:rowOff>208213</xdr:rowOff>
    </xdr:from>
    <xdr:to>
      <xdr:col>7</xdr:col>
      <xdr:colOff>205343</xdr:colOff>
      <xdr:row>125</xdr:row>
      <xdr:rowOff>210861</xdr:rowOff>
    </xdr:to>
    <xdr:grpSp>
      <xdr:nvGrpSpPr>
        <xdr:cNvPr id="1268" name="Agrupar 1267">
          <a:extLst>
            <a:ext uri="{FF2B5EF4-FFF2-40B4-BE49-F238E27FC236}">
              <a16:creationId xmlns:a16="http://schemas.microsoft.com/office/drawing/2014/main" id="{E93BB1CE-0685-48F2-A2A8-256AE5FA244B}"/>
            </a:ext>
          </a:extLst>
        </xdr:cNvPr>
        <xdr:cNvGrpSpPr/>
      </xdr:nvGrpSpPr>
      <xdr:grpSpPr>
        <a:xfrm>
          <a:off x="6379010" y="27862061"/>
          <a:ext cx="182763" cy="224496"/>
          <a:chOff x="6572251" y="7468545"/>
          <a:chExt cx="223837" cy="280178"/>
        </a:xfrm>
      </xdr:grpSpPr>
      <xdr:sp macro="" textlink="">
        <xdr:nvSpPr>
          <xdr:cNvPr id="1269" name="Elipse 1268">
            <a:extLst>
              <a:ext uri="{FF2B5EF4-FFF2-40B4-BE49-F238E27FC236}">
                <a16:creationId xmlns:a16="http://schemas.microsoft.com/office/drawing/2014/main" id="{57D404B8-0C97-7D6A-ED20-D8F0A455F1B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A9D86750-D9EE-8ED1-2A04-9BB593FC2F6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124</xdr:row>
      <xdr:rowOff>216783</xdr:rowOff>
    </xdr:from>
    <xdr:to>
      <xdr:col>7</xdr:col>
      <xdr:colOff>725408</xdr:colOff>
      <xdr:row>126</xdr:row>
      <xdr:rowOff>718</xdr:rowOff>
    </xdr:to>
    <xdr:grpSp>
      <xdr:nvGrpSpPr>
        <xdr:cNvPr id="1271" name="Agrupar 1270">
          <a:extLst>
            <a:ext uri="{FF2B5EF4-FFF2-40B4-BE49-F238E27FC236}">
              <a16:creationId xmlns:a16="http://schemas.microsoft.com/office/drawing/2014/main" id="{C440C9BC-3CC8-4DFF-995E-48D93BDC1724}"/>
            </a:ext>
          </a:extLst>
        </xdr:cNvPr>
        <xdr:cNvGrpSpPr/>
      </xdr:nvGrpSpPr>
      <xdr:grpSpPr>
        <a:xfrm>
          <a:off x="6899075" y="27870631"/>
          <a:ext cx="182763" cy="227631"/>
          <a:chOff x="6572251" y="7477594"/>
          <a:chExt cx="223837" cy="280178"/>
        </a:xfrm>
      </xdr:grpSpPr>
      <xdr:sp macro="" textlink="">
        <xdr:nvSpPr>
          <xdr:cNvPr id="1272" name="Elipse 1271">
            <a:extLst>
              <a:ext uri="{FF2B5EF4-FFF2-40B4-BE49-F238E27FC236}">
                <a16:creationId xmlns:a16="http://schemas.microsoft.com/office/drawing/2014/main" id="{E07A8A2F-DC8B-2068-816B-4A70FBDAA37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908F13D6-90B6-05B4-A526-495A91E3510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125</xdr:row>
      <xdr:rowOff>208213</xdr:rowOff>
    </xdr:from>
    <xdr:to>
      <xdr:col>7</xdr:col>
      <xdr:colOff>205343</xdr:colOff>
      <xdr:row>126</xdr:row>
      <xdr:rowOff>210861</xdr:rowOff>
    </xdr:to>
    <xdr:grpSp>
      <xdr:nvGrpSpPr>
        <xdr:cNvPr id="1274" name="Agrupar 1273">
          <a:extLst>
            <a:ext uri="{FF2B5EF4-FFF2-40B4-BE49-F238E27FC236}">
              <a16:creationId xmlns:a16="http://schemas.microsoft.com/office/drawing/2014/main" id="{A3479001-C8D1-4F41-9D9F-183593D85D53}"/>
            </a:ext>
          </a:extLst>
        </xdr:cNvPr>
        <xdr:cNvGrpSpPr/>
      </xdr:nvGrpSpPr>
      <xdr:grpSpPr>
        <a:xfrm>
          <a:off x="6379010" y="28083909"/>
          <a:ext cx="182763" cy="224496"/>
          <a:chOff x="6572251" y="7468545"/>
          <a:chExt cx="223837" cy="280178"/>
        </a:xfrm>
      </xdr:grpSpPr>
      <xdr:sp macro="" textlink="">
        <xdr:nvSpPr>
          <xdr:cNvPr id="1275" name="Elipse 1274">
            <a:extLst>
              <a:ext uri="{FF2B5EF4-FFF2-40B4-BE49-F238E27FC236}">
                <a16:creationId xmlns:a16="http://schemas.microsoft.com/office/drawing/2014/main" id="{D3DA01D8-E0E8-160C-86DE-785B43804A7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76" name="CaixaDeTexto 1275">
            <a:extLst>
              <a:ext uri="{FF2B5EF4-FFF2-40B4-BE49-F238E27FC236}">
                <a16:creationId xmlns:a16="http://schemas.microsoft.com/office/drawing/2014/main" id="{8B333FD9-6CE6-CF40-DB2A-0B383FBCF9F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125</xdr:row>
      <xdr:rowOff>216783</xdr:rowOff>
    </xdr:from>
    <xdr:to>
      <xdr:col>7</xdr:col>
      <xdr:colOff>725408</xdr:colOff>
      <xdr:row>127</xdr:row>
      <xdr:rowOff>719</xdr:rowOff>
    </xdr:to>
    <xdr:grpSp>
      <xdr:nvGrpSpPr>
        <xdr:cNvPr id="1277" name="Agrupar 1276">
          <a:extLst>
            <a:ext uri="{FF2B5EF4-FFF2-40B4-BE49-F238E27FC236}">
              <a16:creationId xmlns:a16="http://schemas.microsoft.com/office/drawing/2014/main" id="{72BC8B81-65B6-41D2-90BC-43004FF6A782}"/>
            </a:ext>
          </a:extLst>
        </xdr:cNvPr>
        <xdr:cNvGrpSpPr/>
      </xdr:nvGrpSpPr>
      <xdr:grpSpPr>
        <a:xfrm>
          <a:off x="6899075" y="28092479"/>
          <a:ext cx="182763" cy="227632"/>
          <a:chOff x="6572251" y="7477594"/>
          <a:chExt cx="223837" cy="280178"/>
        </a:xfrm>
      </xdr:grpSpPr>
      <xdr:sp macro="" textlink="">
        <xdr:nvSpPr>
          <xdr:cNvPr id="1278" name="Elipse 1277">
            <a:extLst>
              <a:ext uri="{FF2B5EF4-FFF2-40B4-BE49-F238E27FC236}">
                <a16:creationId xmlns:a16="http://schemas.microsoft.com/office/drawing/2014/main" id="{ADCF5D0F-8563-67A2-A01C-B328AA54688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79" name="CaixaDeTexto 1278">
            <a:extLst>
              <a:ext uri="{FF2B5EF4-FFF2-40B4-BE49-F238E27FC236}">
                <a16:creationId xmlns:a16="http://schemas.microsoft.com/office/drawing/2014/main" id="{51CBB2A6-608E-5F46-CC3C-BD4D5E690EA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126</xdr:row>
      <xdr:rowOff>208213</xdr:rowOff>
    </xdr:from>
    <xdr:to>
      <xdr:col>7</xdr:col>
      <xdr:colOff>205343</xdr:colOff>
      <xdr:row>127</xdr:row>
      <xdr:rowOff>210861</xdr:rowOff>
    </xdr:to>
    <xdr:grpSp>
      <xdr:nvGrpSpPr>
        <xdr:cNvPr id="1280" name="Agrupar 1279">
          <a:extLst>
            <a:ext uri="{FF2B5EF4-FFF2-40B4-BE49-F238E27FC236}">
              <a16:creationId xmlns:a16="http://schemas.microsoft.com/office/drawing/2014/main" id="{83A20F37-92FB-440E-9B22-66B02E684465}"/>
            </a:ext>
          </a:extLst>
        </xdr:cNvPr>
        <xdr:cNvGrpSpPr/>
      </xdr:nvGrpSpPr>
      <xdr:grpSpPr>
        <a:xfrm>
          <a:off x="6379010" y="28305757"/>
          <a:ext cx="182763" cy="224496"/>
          <a:chOff x="6572251" y="7468545"/>
          <a:chExt cx="223837" cy="280178"/>
        </a:xfrm>
      </xdr:grpSpPr>
      <xdr:sp macro="" textlink="">
        <xdr:nvSpPr>
          <xdr:cNvPr id="1281" name="Elipse 1280">
            <a:extLst>
              <a:ext uri="{FF2B5EF4-FFF2-40B4-BE49-F238E27FC236}">
                <a16:creationId xmlns:a16="http://schemas.microsoft.com/office/drawing/2014/main" id="{DDE8957E-47E3-B6CB-5FD0-DC0103D3ED3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82" name="CaixaDeTexto 1281">
            <a:extLst>
              <a:ext uri="{FF2B5EF4-FFF2-40B4-BE49-F238E27FC236}">
                <a16:creationId xmlns:a16="http://schemas.microsoft.com/office/drawing/2014/main" id="{561ADA9E-B2DA-9BDE-3169-FF6FD81442D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126</xdr:row>
      <xdr:rowOff>216783</xdr:rowOff>
    </xdr:from>
    <xdr:to>
      <xdr:col>7</xdr:col>
      <xdr:colOff>725408</xdr:colOff>
      <xdr:row>128</xdr:row>
      <xdr:rowOff>719</xdr:rowOff>
    </xdr:to>
    <xdr:grpSp>
      <xdr:nvGrpSpPr>
        <xdr:cNvPr id="1283" name="Agrupar 1282">
          <a:extLst>
            <a:ext uri="{FF2B5EF4-FFF2-40B4-BE49-F238E27FC236}">
              <a16:creationId xmlns:a16="http://schemas.microsoft.com/office/drawing/2014/main" id="{F1321DD3-9758-49AC-A4ED-A2780965B5F9}"/>
            </a:ext>
          </a:extLst>
        </xdr:cNvPr>
        <xdr:cNvGrpSpPr/>
      </xdr:nvGrpSpPr>
      <xdr:grpSpPr>
        <a:xfrm>
          <a:off x="6899075" y="28314327"/>
          <a:ext cx="182763" cy="227633"/>
          <a:chOff x="6572251" y="7477594"/>
          <a:chExt cx="223837" cy="280178"/>
        </a:xfrm>
      </xdr:grpSpPr>
      <xdr:sp macro="" textlink="">
        <xdr:nvSpPr>
          <xdr:cNvPr id="1284" name="Elipse 1283">
            <a:extLst>
              <a:ext uri="{FF2B5EF4-FFF2-40B4-BE49-F238E27FC236}">
                <a16:creationId xmlns:a16="http://schemas.microsoft.com/office/drawing/2014/main" id="{A71E4957-9FC4-C764-93EE-30FED0C4463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85" name="CaixaDeTexto 1284">
            <a:extLst>
              <a:ext uri="{FF2B5EF4-FFF2-40B4-BE49-F238E27FC236}">
                <a16:creationId xmlns:a16="http://schemas.microsoft.com/office/drawing/2014/main" id="{452AF2F8-9CD6-58CC-882B-A30018C8ECA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127</xdr:row>
      <xdr:rowOff>208213</xdr:rowOff>
    </xdr:from>
    <xdr:to>
      <xdr:col>7</xdr:col>
      <xdr:colOff>205343</xdr:colOff>
      <xdr:row>128</xdr:row>
      <xdr:rowOff>210861</xdr:rowOff>
    </xdr:to>
    <xdr:grpSp>
      <xdr:nvGrpSpPr>
        <xdr:cNvPr id="1286" name="Agrupar 1285">
          <a:extLst>
            <a:ext uri="{FF2B5EF4-FFF2-40B4-BE49-F238E27FC236}">
              <a16:creationId xmlns:a16="http://schemas.microsoft.com/office/drawing/2014/main" id="{D5F18B98-F7F7-4B62-B829-21A71407DB6A}"/>
            </a:ext>
          </a:extLst>
        </xdr:cNvPr>
        <xdr:cNvGrpSpPr/>
      </xdr:nvGrpSpPr>
      <xdr:grpSpPr>
        <a:xfrm>
          <a:off x="6379010" y="28527605"/>
          <a:ext cx="182763" cy="224497"/>
          <a:chOff x="6572251" y="7468545"/>
          <a:chExt cx="223837" cy="280178"/>
        </a:xfrm>
      </xdr:grpSpPr>
      <xdr:sp macro="" textlink="">
        <xdr:nvSpPr>
          <xdr:cNvPr id="1287" name="Elipse 1286">
            <a:extLst>
              <a:ext uri="{FF2B5EF4-FFF2-40B4-BE49-F238E27FC236}">
                <a16:creationId xmlns:a16="http://schemas.microsoft.com/office/drawing/2014/main" id="{044AAA2F-4298-0231-684D-6C947960C84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88" name="CaixaDeTexto 1287">
            <a:extLst>
              <a:ext uri="{FF2B5EF4-FFF2-40B4-BE49-F238E27FC236}">
                <a16:creationId xmlns:a16="http://schemas.microsoft.com/office/drawing/2014/main" id="{BB6701C1-FEB3-DC41-0DBE-63959AD1F65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127</xdr:row>
      <xdr:rowOff>216783</xdr:rowOff>
    </xdr:from>
    <xdr:to>
      <xdr:col>7</xdr:col>
      <xdr:colOff>725408</xdr:colOff>
      <xdr:row>129</xdr:row>
      <xdr:rowOff>2563</xdr:rowOff>
    </xdr:to>
    <xdr:grpSp>
      <xdr:nvGrpSpPr>
        <xdr:cNvPr id="1289" name="Agrupar 1288">
          <a:extLst>
            <a:ext uri="{FF2B5EF4-FFF2-40B4-BE49-F238E27FC236}">
              <a16:creationId xmlns:a16="http://schemas.microsoft.com/office/drawing/2014/main" id="{81FC0F1D-0F63-43FA-BE25-239862D6635F}"/>
            </a:ext>
          </a:extLst>
        </xdr:cNvPr>
        <xdr:cNvGrpSpPr/>
      </xdr:nvGrpSpPr>
      <xdr:grpSpPr>
        <a:xfrm>
          <a:off x="6899075" y="28536175"/>
          <a:ext cx="182763" cy="229477"/>
          <a:chOff x="6572251" y="7477594"/>
          <a:chExt cx="223837" cy="280178"/>
        </a:xfrm>
      </xdr:grpSpPr>
      <xdr:sp macro="" textlink="">
        <xdr:nvSpPr>
          <xdr:cNvPr id="1290" name="Elipse 1289">
            <a:extLst>
              <a:ext uri="{FF2B5EF4-FFF2-40B4-BE49-F238E27FC236}">
                <a16:creationId xmlns:a16="http://schemas.microsoft.com/office/drawing/2014/main" id="{6328B5D0-75C3-F762-F471-1E1D67F3675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91" name="CaixaDeTexto 1290">
            <a:extLst>
              <a:ext uri="{FF2B5EF4-FFF2-40B4-BE49-F238E27FC236}">
                <a16:creationId xmlns:a16="http://schemas.microsoft.com/office/drawing/2014/main" id="{168999EA-9D13-1C85-283B-D6D3D5DEDDC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128</xdr:row>
      <xdr:rowOff>208213</xdr:rowOff>
    </xdr:from>
    <xdr:to>
      <xdr:col>7</xdr:col>
      <xdr:colOff>205343</xdr:colOff>
      <xdr:row>129</xdr:row>
      <xdr:rowOff>210861</xdr:rowOff>
    </xdr:to>
    <xdr:grpSp>
      <xdr:nvGrpSpPr>
        <xdr:cNvPr id="1292" name="Agrupar 1291">
          <a:extLst>
            <a:ext uri="{FF2B5EF4-FFF2-40B4-BE49-F238E27FC236}">
              <a16:creationId xmlns:a16="http://schemas.microsoft.com/office/drawing/2014/main" id="{27230641-6A35-429C-AC7A-DB77D5367DC8}"/>
            </a:ext>
          </a:extLst>
        </xdr:cNvPr>
        <xdr:cNvGrpSpPr/>
      </xdr:nvGrpSpPr>
      <xdr:grpSpPr>
        <a:xfrm>
          <a:off x="6379010" y="28749454"/>
          <a:ext cx="182763" cy="224496"/>
          <a:chOff x="6572251" y="7468545"/>
          <a:chExt cx="223837" cy="280178"/>
        </a:xfrm>
      </xdr:grpSpPr>
      <xdr:sp macro="" textlink="">
        <xdr:nvSpPr>
          <xdr:cNvPr id="1293" name="Elipse 1292">
            <a:extLst>
              <a:ext uri="{FF2B5EF4-FFF2-40B4-BE49-F238E27FC236}">
                <a16:creationId xmlns:a16="http://schemas.microsoft.com/office/drawing/2014/main" id="{DFDCD9A6-DC65-BC94-0E1C-B5A0C026685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94" name="CaixaDeTexto 1293">
            <a:extLst>
              <a:ext uri="{FF2B5EF4-FFF2-40B4-BE49-F238E27FC236}">
                <a16:creationId xmlns:a16="http://schemas.microsoft.com/office/drawing/2014/main" id="{B0C43A61-5AF8-03D8-83D8-895AE85C36F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128</xdr:row>
      <xdr:rowOff>216783</xdr:rowOff>
    </xdr:from>
    <xdr:to>
      <xdr:col>7</xdr:col>
      <xdr:colOff>725408</xdr:colOff>
      <xdr:row>130</xdr:row>
      <xdr:rowOff>2564</xdr:rowOff>
    </xdr:to>
    <xdr:grpSp>
      <xdr:nvGrpSpPr>
        <xdr:cNvPr id="1295" name="Agrupar 1294">
          <a:extLst>
            <a:ext uri="{FF2B5EF4-FFF2-40B4-BE49-F238E27FC236}">
              <a16:creationId xmlns:a16="http://schemas.microsoft.com/office/drawing/2014/main" id="{6CBEAAC9-5CB4-46DA-944E-ABCC24FF5B80}"/>
            </a:ext>
          </a:extLst>
        </xdr:cNvPr>
        <xdr:cNvGrpSpPr/>
      </xdr:nvGrpSpPr>
      <xdr:grpSpPr>
        <a:xfrm>
          <a:off x="6899075" y="28758024"/>
          <a:ext cx="182763" cy="229477"/>
          <a:chOff x="6572251" y="7477594"/>
          <a:chExt cx="223837" cy="280178"/>
        </a:xfrm>
      </xdr:grpSpPr>
      <xdr:sp macro="" textlink="">
        <xdr:nvSpPr>
          <xdr:cNvPr id="1296" name="Elipse 1295">
            <a:extLst>
              <a:ext uri="{FF2B5EF4-FFF2-40B4-BE49-F238E27FC236}">
                <a16:creationId xmlns:a16="http://schemas.microsoft.com/office/drawing/2014/main" id="{43D3D3BC-457E-A7BF-C06B-58173E8443A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97" name="CaixaDeTexto 1296">
            <a:extLst>
              <a:ext uri="{FF2B5EF4-FFF2-40B4-BE49-F238E27FC236}">
                <a16:creationId xmlns:a16="http://schemas.microsoft.com/office/drawing/2014/main" id="{85C988D6-7959-B336-DCB0-3EAF526B502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129</xdr:row>
      <xdr:rowOff>208213</xdr:rowOff>
    </xdr:from>
    <xdr:to>
      <xdr:col>7</xdr:col>
      <xdr:colOff>205343</xdr:colOff>
      <xdr:row>130</xdr:row>
      <xdr:rowOff>210861</xdr:rowOff>
    </xdr:to>
    <xdr:grpSp>
      <xdr:nvGrpSpPr>
        <xdr:cNvPr id="1298" name="Agrupar 1297">
          <a:extLst>
            <a:ext uri="{FF2B5EF4-FFF2-40B4-BE49-F238E27FC236}">
              <a16:creationId xmlns:a16="http://schemas.microsoft.com/office/drawing/2014/main" id="{2DC9152D-8EAF-43FC-A411-6D2BB6C5BC2F}"/>
            </a:ext>
          </a:extLst>
        </xdr:cNvPr>
        <xdr:cNvGrpSpPr/>
      </xdr:nvGrpSpPr>
      <xdr:grpSpPr>
        <a:xfrm>
          <a:off x="6379010" y="28971302"/>
          <a:ext cx="182763" cy="224496"/>
          <a:chOff x="6572251" y="7468545"/>
          <a:chExt cx="223837" cy="280178"/>
        </a:xfrm>
      </xdr:grpSpPr>
      <xdr:sp macro="" textlink="">
        <xdr:nvSpPr>
          <xdr:cNvPr id="1299" name="Elipse 1298">
            <a:extLst>
              <a:ext uri="{FF2B5EF4-FFF2-40B4-BE49-F238E27FC236}">
                <a16:creationId xmlns:a16="http://schemas.microsoft.com/office/drawing/2014/main" id="{5A28EF6D-19BF-A452-591D-2ACB8DCCD7C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300" name="CaixaDeTexto 1299">
            <a:extLst>
              <a:ext uri="{FF2B5EF4-FFF2-40B4-BE49-F238E27FC236}">
                <a16:creationId xmlns:a16="http://schemas.microsoft.com/office/drawing/2014/main" id="{48296B6C-5293-84ED-F6EF-C89B6ACB335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129</xdr:row>
      <xdr:rowOff>216783</xdr:rowOff>
    </xdr:from>
    <xdr:to>
      <xdr:col>7</xdr:col>
      <xdr:colOff>725408</xdr:colOff>
      <xdr:row>131</xdr:row>
      <xdr:rowOff>2564</xdr:rowOff>
    </xdr:to>
    <xdr:grpSp>
      <xdr:nvGrpSpPr>
        <xdr:cNvPr id="1301" name="Agrupar 1300">
          <a:extLst>
            <a:ext uri="{FF2B5EF4-FFF2-40B4-BE49-F238E27FC236}">
              <a16:creationId xmlns:a16="http://schemas.microsoft.com/office/drawing/2014/main" id="{01BB793A-1354-4DF7-AFAB-92A246738685}"/>
            </a:ext>
          </a:extLst>
        </xdr:cNvPr>
        <xdr:cNvGrpSpPr/>
      </xdr:nvGrpSpPr>
      <xdr:grpSpPr>
        <a:xfrm>
          <a:off x="6899075" y="28979872"/>
          <a:ext cx="182763" cy="229477"/>
          <a:chOff x="6572251" y="7477594"/>
          <a:chExt cx="223837" cy="280178"/>
        </a:xfrm>
      </xdr:grpSpPr>
      <xdr:sp macro="" textlink="">
        <xdr:nvSpPr>
          <xdr:cNvPr id="1302" name="Elipse 1301">
            <a:extLst>
              <a:ext uri="{FF2B5EF4-FFF2-40B4-BE49-F238E27FC236}">
                <a16:creationId xmlns:a16="http://schemas.microsoft.com/office/drawing/2014/main" id="{4A37F2C8-A3D4-A43B-5EF3-5CF477268E4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303" name="CaixaDeTexto 1302">
            <a:extLst>
              <a:ext uri="{FF2B5EF4-FFF2-40B4-BE49-F238E27FC236}">
                <a16:creationId xmlns:a16="http://schemas.microsoft.com/office/drawing/2014/main" id="{27251DC9-1A62-CC32-6136-2F723C0FCB1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130</xdr:row>
      <xdr:rowOff>208213</xdr:rowOff>
    </xdr:from>
    <xdr:to>
      <xdr:col>7</xdr:col>
      <xdr:colOff>205343</xdr:colOff>
      <xdr:row>131</xdr:row>
      <xdr:rowOff>210861</xdr:rowOff>
    </xdr:to>
    <xdr:grpSp>
      <xdr:nvGrpSpPr>
        <xdr:cNvPr id="1304" name="Agrupar 1303">
          <a:extLst>
            <a:ext uri="{FF2B5EF4-FFF2-40B4-BE49-F238E27FC236}">
              <a16:creationId xmlns:a16="http://schemas.microsoft.com/office/drawing/2014/main" id="{8E763B4E-EEAF-4B9E-A5F8-47AC0E7169AF}"/>
            </a:ext>
          </a:extLst>
        </xdr:cNvPr>
        <xdr:cNvGrpSpPr/>
      </xdr:nvGrpSpPr>
      <xdr:grpSpPr>
        <a:xfrm>
          <a:off x="6379010" y="29193150"/>
          <a:ext cx="182763" cy="224496"/>
          <a:chOff x="6572251" y="7468545"/>
          <a:chExt cx="223837" cy="280178"/>
        </a:xfrm>
      </xdr:grpSpPr>
      <xdr:sp macro="" textlink="">
        <xdr:nvSpPr>
          <xdr:cNvPr id="1305" name="Elipse 1304">
            <a:extLst>
              <a:ext uri="{FF2B5EF4-FFF2-40B4-BE49-F238E27FC236}">
                <a16:creationId xmlns:a16="http://schemas.microsoft.com/office/drawing/2014/main" id="{760FD7BE-BDA0-583E-DC16-7B2FF8A45F9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306" name="CaixaDeTexto 1305">
            <a:extLst>
              <a:ext uri="{FF2B5EF4-FFF2-40B4-BE49-F238E27FC236}">
                <a16:creationId xmlns:a16="http://schemas.microsoft.com/office/drawing/2014/main" id="{1F4475A4-75D4-3E74-E95D-580F7568414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130</xdr:row>
      <xdr:rowOff>216783</xdr:rowOff>
    </xdr:from>
    <xdr:to>
      <xdr:col>7</xdr:col>
      <xdr:colOff>725408</xdr:colOff>
      <xdr:row>132</xdr:row>
      <xdr:rowOff>2564</xdr:rowOff>
    </xdr:to>
    <xdr:grpSp>
      <xdr:nvGrpSpPr>
        <xdr:cNvPr id="1307" name="Agrupar 1306">
          <a:extLst>
            <a:ext uri="{FF2B5EF4-FFF2-40B4-BE49-F238E27FC236}">
              <a16:creationId xmlns:a16="http://schemas.microsoft.com/office/drawing/2014/main" id="{C3B0BDDA-8BDB-4DBC-BA68-3F02FC1241F0}"/>
            </a:ext>
          </a:extLst>
        </xdr:cNvPr>
        <xdr:cNvGrpSpPr/>
      </xdr:nvGrpSpPr>
      <xdr:grpSpPr>
        <a:xfrm>
          <a:off x="6899075" y="29201720"/>
          <a:ext cx="182763" cy="229477"/>
          <a:chOff x="6572251" y="7477594"/>
          <a:chExt cx="223837" cy="280178"/>
        </a:xfrm>
      </xdr:grpSpPr>
      <xdr:sp macro="" textlink="">
        <xdr:nvSpPr>
          <xdr:cNvPr id="1308" name="Elipse 1307">
            <a:extLst>
              <a:ext uri="{FF2B5EF4-FFF2-40B4-BE49-F238E27FC236}">
                <a16:creationId xmlns:a16="http://schemas.microsoft.com/office/drawing/2014/main" id="{C102A4FD-DA5E-9EF6-6EB2-E76078A7A7D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309" name="CaixaDeTexto 1308">
            <a:extLst>
              <a:ext uri="{FF2B5EF4-FFF2-40B4-BE49-F238E27FC236}">
                <a16:creationId xmlns:a16="http://schemas.microsoft.com/office/drawing/2014/main" id="{9933EF16-E1F1-21F7-E86B-AA840BFAE29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 editAs="oneCell">
    <xdr:from>
      <xdr:col>12</xdr:col>
      <xdr:colOff>1559236</xdr:colOff>
      <xdr:row>42</xdr:row>
      <xdr:rowOff>148676</xdr:rowOff>
    </xdr:from>
    <xdr:to>
      <xdr:col>12</xdr:col>
      <xdr:colOff>6050740</xdr:colOff>
      <xdr:row>62</xdr:row>
      <xdr:rowOff>217512</xdr:rowOff>
    </xdr:to>
    <xdr:pic>
      <xdr:nvPicPr>
        <xdr:cNvPr id="1310" name="Imagem 1309" descr="Codigo de cores de resistores e capacitores">
          <a:extLst>
            <a:ext uri="{FF2B5EF4-FFF2-40B4-BE49-F238E27FC236}">
              <a16:creationId xmlns:a16="http://schemas.microsoft.com/office/drawing/2014/main" id="{56C63AE7-BADA-887A-E3E3-17CA4F7B5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3293" y="9466847"/>
          <a:ext cx="4491504" cy="44231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714704</xdr:colOff>
      <xdr:row>4</xdr:row>
      <xdr:rowOff>90238</xdr:rowOff>
    </xdr:from>
    <xdr:to>
      <xdr:col>20</xdr:col>
      <xdr:colOff>72346</xdr:colOff>
      <xdr:row>6</xdr:row>
      <xdr:rowOff>150396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88A481ED-BB66-A5D9-6AE6-7609F64B4E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688" b="95313" l="9607" r="89738">
                      <a14:foregroundMark x1="32751" y1="87500" x2="28384" y2="85938"/>
                      <a14:foregroundMark x1="46288" y1="78125" x2="68559" y2="81250"/>
                      <a14:foregroundMark x1="75328" y1="92188" x2="72271" y2="95313"/>
                      <a14:foregroundMark x1="72489" y1="10938" x2="75546" y2="10938"/>
                      <a14:foregroundMark x1="32751" y1="12500" x2="28384" y2="4688"/>
                      <a14:foregroundMark x1="31878" y1="90625" x2="29694" y2="87500"/>
                      <a14:foregroundMark x1="29039" y1="6250" x2="27948" y2="6250"/>
                      <a14:backgroundMark x1="88428" y1="50000" x2="85590" y2="48438"/>
                      <a14:backgroundMark x1="86900" y1="46875" x2="81004" y2="46875"/>
                    </a14:backgroundRemoval>
                  </a14:imgEffect>
                </a14:imgLayer>
              </a14:imgProps>
            </a:ext>
          </a:extLst>
        </a:blip>
        <a:srcRect l="25885" r="20926"/>
        <a:stretch/>
      </xdr:blipFill>
      <xdr:spPr>
        <a:xfrm>
          <a:off x="18366828" y="1125507"/>
          <a:ext cx="1897117" cy="501592"/>
        </a:xfrm>
        <a:prstGeom prst="rect">
          <a:avLst/>
        </a:prstGeom>
      </xdr:spPr>
    </xdr:pic>
    <xdr:clientData/>
  </xdr:twoCellAnchor>
  <xdr:twoCellAnchor editAs="oneCell">
    <xdr:from>
      <xdr:col>16</xdr:col>
      <xdr:colOff>714704</xdr:colOff>
      <xdr:row>8</xdr:row>
      <xdr:rowOff>93211</xdr:rowOff>
    </xdr:from>
    <xdr:to>
      <xdr:col>20</xdr:col>
      <xdr:colOff>93367</xdr:colOff>
      <xdr:row>10</xdr:row>
      <xdr:rowOff>183493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B7C4D307-A5E5-1D65-C53A-441F50FE6C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3947" b="89474" l="9884" r="89922">
                      <a14:foregroundMark x1="28876" y1="43421" x2="32364" y2="39474"/>
                      <a14:foregroundMark x1="29457" y1="11842" x2="32364" y2="3947"/>
                      <a14:foregroundMark x1="31783" y1="85526" x2="28876" y2="80263"/>
                      <a14:foregroundMark x1="32364" y1="82895" x2="29070" y2="86842"/>
                      <a14:foregroundMark x1="76744" y1="88158" x2="72287" y2="86842"/>
                      <a14:foregroundMark x1="53101" y1="21053" x2="53101" y2="21053"/>
                      <a14:foregroundMark x1="53488" y1="18421" x2="52713" y2="18421"/>
                    </a14:backgroundRemoval>
                  </a14:imgEffect>
                </a14:imgLayer>
              </a14:imgProps>
            </a:ext>
          </a:extLst>
        </a:blip>
        <a:srcRect l="25961" r="20858"/>
        <a:stretch/>
      </xdr:blipFill>
      <xdr:spPr>
        <a:xfrm>
          <a:off x="18366828" y="2011349"/>
          <a:ext cx="1918138" cy="531716"/>
        </a:xfrm>
        <a:prstGeom prst="rect">
          <a:avLst/>
        </a:prstGeom>
      </xdr:spPr>
    </xdr:pic>
    <xdr:clientData/>
  </xdr:twoCellAnchor>
  <xdr:twoCellAnchor>
    <xdr:from>
      <xdr:col>7</xdr:col>
      <xdr:colOff>22580</xdr:colOff>
      <xdr:row>6</xdr:row>
      <xdr:rowOff>208213</xdr:rowOff>
    </xdr:from>
    <xdr:to>
      <xdr:col>7</xdr:col>
      <xdr:colOff>205343</xdr:colOff>
      <xdr:row>7</xdr:row>
      <xdr:rowOff>210861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ADA35949-CB5A-46C5-9186-EF33A68F2657}"/>
            </a:ext>
          </a:extLst>
        </xdr:cNvPr>
        <xdr:cNvGrpSpPr/>
      </xdr:nvGrpSpPr>
      <xdr:grpSpPr>
        <a:xfrm>
          <a:off x="6623627" y="1679050"/>
          <a:ext cx="182763" cy="224160"/>
          <a:chOff x="6572251" y="7468545"/>
          <a:chExt cx="223837" cy="280178"/>
        </a:xfrm>
      </xdr:grpSpPr>
      <xdr:sp macro="" textlink="">
        <xdr:nvSpPr>
          <xdr:cNvPr id="61" name="Elipse 60">
            <a:extLst>
              <a:ext uri="{FF2B5EF4-FFF2-40B4-BE49-F238E27FC236}">
                <a16:creationId xmlns:a16="http://schemas.microsoft.com/office/drawing/2014/main" id="{A21291C1-E93E-A34D-9A9F-F489B35B6BC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F2C15880-A32D-8D8B-ED81-6558EFB8C3A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6</xdr:row>
      <xdr:rowOff>216783</xdr:rowOff>
    </xdr:from>
    <xdr:to>
      <xdr:col>7</xdr:col>
      <xdr:colOff>725408</xdr:colOff>
      <xdr:row>7</xdr:row>
      <xdr:rowOff>220278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3BD1705F-73BB-418A-B28C-3C7645297309}"/>
            </a:ext>
          </a:extLst>
        </xdr:cNvPr>
        <xdr:cNvGrpSpPr/>
      </xdr:nvGrpSpPr>
      <xdr:grpSpPr>
        <a:xfrm>
          <a:off x="7143692" y="1687620"/>
          <a:ext cx="182763" cy="225007"/>
          <a:chOff x="6572251" y="7477594"/>
          <a:chExt cx="223837" cy="280178"/>
        </a:xfrm>
      </xdr:grpSpPr>
      <xdr:sp macro="" textlink="">
        <xdr:nvSpPr>
          <xdr:cNvPr id="64" name="Elipse 63">
            <a:extLst>
              <a:ext uri="{FF2B5EF4-FFF2-40B4-BE49-F238E27FC236}">
                <a16:creationId xmlns:a16="http://schemas.microsoft.com/office/drawing/2014/main" id="{598D4CF6-53B2-CBBB-424F-D6E06180532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1C7AD8BC-6641-C3E4-6932-079865F699B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7</xdr:row>
      <xdr:rowOff>208213</xdr:rowOff>
    </xdr:from>
    <xdr:to>
      <xdr:col>7</xdr:col>
      <xdr:colOff>205343</xdr:colOff>
      <xdr:row>8</xdr:row>
      <xdr:rowOff>210861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131F735C-FE9A-491D-BD92-5C9F485C6358}"/>
            </a:ext>
          </a:extLst>
        </xdr:cNvPr>
        <xdr:cNvGrpSpPr/>
      </xdr:nvGrpSpPr>
      <xdr:grpSpPr>
        <a:xfrm>
          <a:off x="6623627" y="1900562"/>
          <a:ext cx="182763" cy="224159"/>
          <a:chOff x="6572251" y="7468545"/>
          <a:chExt cx="223837" cy="280178"/>
        </a:xfrm>
      </xdr:grpSpPr>
      <xdr:sp macro="" textlink="">
        <xdr:nvSpPr>
          <xdr:cNvPr id="67" name="Elipse 66">
            <a:extLst>
              <a:ext uri="{FF2B5EF4-FFF2-40B4-BE49-F238E27FC236}">
                <a16:creationId xmlns:a16="http://schemas.microsoft.com/office/drawing/2014/main" id="{2997F757-65D9-8941-D398-C15C412A87E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1B4833E6-ADC8-1D2F-32C1-E8400A11FF3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7</xdr:row>
      <xdr:rowOff>216783</xdr:rowOff>
    </xdr:from>
    <xdr:to>
      <xdr:col>7</xdr:col>
      <xdr:colOff>725408</xdr:colOff>
      <xdr:row>8</xdr:row>
      <xdr:rowOff>220278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1A3D9EBA-CBBF-4B5E-A370-F36343B5D36C}"/>
            </a:ext>
          </a:extLst>
        </xdr:cNvPr>
        <xdr:cNvGrpSpPr/>
      </xdr:nvGrpSpPr>
      <xdr:grpSpPr>
        <a:xfrm>
          <a:off x="7143692" y="1909132"/>
          <a:ext cx="182763" cy="225006"/>
          <a:chOff x="6572251" y="7477594"/>
          <a:chExt cx="223837" cy="280178"/>
        </a:xfrm>
      </xdr:grpSpPr>
      <xdr:sp macro="" textlink="">
        <xdr:nvSpPr>
          <xdr:cNvPr id="72" name="Elipse 71">
            <a:extLst>
              <a:ext uri="{FF2B5EF4-FFF2-40B4-BE49-F238E27FC236}">
                <a16:creationId xmlns:a16="http://schemas.microsoft.com/office/drawing/2014/main" id="{094C3B9D-5C6E-53C3-7EFA-A9D1DE2836D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DCD08167-B315-D257-24EE-379CF35729A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8</xdr:row>
      <xdr:rowOff>208213</xdr:rowOff>
    </xdr:from>
    <xdr:to>
      <xdr:col>7</xdr:col>
      <xdr:colOff>205343</xdr:colOff>
      <xdr:row>9</xdr:row>
      <xdr:rowOff>210861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9512C698-6688-44F6-989B-AE580418D43B}"/>
            </a:ext>
          </a:extLst>
        </xdr:cNvPr>
        <xdr:cNvGrpSpPr/>
      </xdr:nvGrpSpPr>
      <xdr:grpSpPr>
        <a:xfrm>
          <a:off x="6623627" y="2122073"/>
          <a:ext cx="182763" cy="224160"/>
          <a:chOff x="6572251" y="7468545"/>
          <a:chExt cx="223837" cy="280178"/>
        </a:xfrm>
      </xdr:grpSpPr>
      <xdr:sp macro="" textlink="">
        <xdr:nvSpPr>
          <xdr:cNvPr id="75" name="Elipse 74">
            <a:extLst>
              <a:ext uri="{FF2B5EF4-FFF2-40B4-BE49-F238E27FC236}">
                <a16:creationId xmlns:a16="http://schemas.microsoft.com/office/drawing/2014/main" id="{E00E14D5-9CB2-7317-7A76-3F7E220EFE6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DF433DFE-BE0D-DAC6-83B2-03B7C60F242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8</xdr:row>
      <xdr:rowOff>216783</xdr:rowOff>
    </xdr:from>
    <xdr:to>
      <xdr:col>7</xdr:col>
      <xdr:colOff>725408</xdr:colOff>
      <xdr:row>9</xdr:row>
      <xdr:rowOff>220278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D365E990-47AF-4CEE-9ACE-D00865DD627B}"/>
            </a:ext>
          </a:extLst>
        </xdr:cNvPr>
        <xdr:cNvGrpSpPr/>
      </xdr:nvGrpSpPr>
      <xdr:grpSpPr>
        <a:xfrm>
          <a:off x="7143692" y="2130643"/>
          <a:ext cx="182763" cy="225007"/>
          <a:chOff x="6572251" y="7477594"/>
          <a:chExt cx="223837" cy="280178"/>
        </a:xfrm>
      </xdr:grpSpPr>
      <xdr:sp macro="" textlink="">
        <xdr:nvSpPr>
          <xdr:cNvPr id="78" name="Elipse 77">
            <a:extLst>
              <a:ext uri="{FF2B5EF4-FFF2-40B4-BE49-F238E27FC236}">
                <a16:creationId xmlns:a16="http://schemas.microsoft.com/office/drawing/2014/main" id="{65BB1353-3F64-554B-4AA7-DD9DE69E09F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99EF5D9C-A149-21F6-5891-BBCA6909712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</xdr:row>
      <xdr:rowOff>208213</xdr:rowOff>
    </xdr:from>
    <xdr:to>
      <xdr:col>7</xdr:col>
      <xdr:colOff>205343</xdr:colOff>
      <xdr:row>6</xdr:row>
      <xdr:rowOff>210861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8BA28944-B7C0-4CD9-A46E-E77A011CE19A}"/>
            </a:ext>
          </a:extLst>
        </xdr:cNvPr>
        <xdr:cNvGrpSpPr/>
      </xdr:nvGrpSpPr>
      <xdr:grpSpPr>
        <a:xfrm>
          <a:off x="6623627" y="1457539"/>
          <a:ext cx="182763" cy="224159"/>
          <a:chOff x="6572251" y="7468545"/>
          <a:chExt cx="223837" cy="280178"/>
        </a:xfrm>
      </xdr:grpSpPr>
      <xdr:sp macro="" textlink="">
        <xdr:nvSpPr>
          <xdr:cNvPr id="81" name="Elipse 80">
            <a:extLst>
              <a:ext uri="{FF2B5EF4-FFF2-40B4-BE49-F238E27FC236}">
                <a16:creationId xmlns:a16="http://schemas.microsoft.com/office/drawing/2014/main" id="{49846F32-DC78-224E-907F-D39F5E477A7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BB4FADA1-CEC9-8792-64B1-9978A0BF479A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</xdr:row>
      <xdr:rowOff>216783</xdr:rowOff>
    </xdr:from>
    <xdr:to>
      <xdr:col>7</xdr:col>
      <xdr:colOff>725408</xdr:colOff>
      <xdr:row>6</xdr:row>
      <xdr:rowOff>220278</xdr:rowOff>
    </xdr:to>
    <xdr:grpSp>
      <xdr:nvGrpSpPr>
        <xdr:cNvPr id="83" name="Agrupar 82">
          <a:extLst>
            <a:ext uri="{FF2B5EF4-FFF2-40B4-BE49-F238E27FC236}">
              <a16:creationId xmlns:a16="http://schemas.microsoft.com/office/drawing/2014/main" id="{20E258C0-16CB-4C75-A27C-0DB0D48583FB}"/>
            </a:ext>
          </a:extLst>
        </xdr:cNvPr>
        <xdr:cNvGrpSpPr/>
      </xdr:nvGrpSpPr>
      <xdr:grpSpPr>
        <a:xfrm>
          <a:off x="7143692" y="1466109"/>
          <a:ext cx="182763" cy="225006"/>
          <a:chOff x="6572251" y="7477594"/>
          <a:chExt cx="223837" cy="280178"/>
        </a:xfrm>
      </xdr:grpSpPr>
      <xdr:sp macro="" textlink="">
        <xdr:nvSpPr>
          <xdr:cNvPr id="84" name="Elipse 83">
            <a:extLst>
              <a:ext uri="{FF2B5EF4-FFF2-40B4-BE49-F238E27FC236}">
                <a16:creationId xmlns:a16="http://schemas.microsoft.com/office/drawing/2014/main" id="{BC97CA12-912C-1728-4AEF-B09C4FAEEB1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AEB13D59-9E1F-C6E2-23FD-E41AB028957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11</xdr:row>
      <xdr:rowOff>208213</xdr:rowOff>
    </xdr:from>
    <xdr:to>
      <xdr:col>7</xdr:col>
      <xdr:colOff>205343</xdr:colOff>
      <xdr:row>12</xdr:row>
      <xdr:rowOff>210861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93849E13-64FF-45E6-B0BE-C4342F94895E}"/>
            </a:ext>
          </a:extLst>
        </xdr:cNvPr>
        <xdr:cNvGrpSpPr/>
      </xdr:nvGrpSpPr>
      <xdr:grpSpPr>
        <a:xfrm>
          <a:off x="6623627" y="2786608"/>
          <a:ext cx="182763" cy="224160"/>
          <a:chOff x="6572251" y="7468545"/>
          <a:chExt cx="223837" cy="280178"/>
        </a:xfrm>
      </xdr:grpSpPr>
      <xdr:sp macro="" textlink="">
        <xdr:nvSpPr>
          <xdr:cNvPr id="93" name="Elipse 92">
            <a:extLst>
              <a:ext uri="{FF2B5EF4-FFF2-40B4-BE49-F238E27FC236}">
                <a16:creationId xmlns:a16="http://schemas.microsoft.com/office/drawing/2014/main" id="{F074DB6F-4CC9-AEB7-4738-208132AE2E9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4" name="CaixaDeTexto 93">
            <a:extLst>
              <a:ext uri="{FF2B5EF4-FFF2-40B4-BE49-F238E27FC236}">
                <a16:creationId xmlns:a16="http://schemas.microsoft.com/office/drawing/2014/main" id="{D4AB8716-EF66-D064-DB94-27FBF4A390C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11</xdr:row>
      <xdr:rowOff>216783</xdr:rowOff>
    </xdr:from>
    <xdr:to>
      <xdr:col>7</xdr:col>
      <xdr:colOff>725408</xdr:colOff>
      <xdr:row>12</xdr:row>
      <xdr:rowOff>220278</xdr:rowOff>
    </xdr:to>
    <xdr:grpSp>
      <xdr:nvGrpSpPr>
        <xdr:cNvPr id="95" name="Agrupar 94">
          <a:extLst>
            <a:ext uri="{FF2B5EF4-FFF2-40B4-BE49-F238E27FC236}">
              <a16:creationId xmlns:a16="http://schemas.microsoft.com/office/drawing/2014/main" id="{8BFC82BD-BFD6-41DB-AD8D-A525C8572B51}"/>
            </a:ext>
          </a:extLst>
        </xdr:cNvPr>
        <xdr:cNvGrpSpPr/>
      </xdr:nvGrpSpPr>
      <xdr:grpSpPr>
        <a:xfrm>
          <a:off x="7143692" y="2795178"/>
          <a:ext cx="182763" cy="225007"/>
          <a:chOff x="6572251" y="7477594"/>
          <a:chExt cx="223837" cy="280178"/>
        </a:xfrm>
      </xdr:grpSpPr>
      <xdr:sp macro="" textlink="">
        <xdr:nvSpPr>
          <xdr:cNvPr id="96" name="Elipse 95">
            <a:extLst>
              <a:ext uri="{FF2B5EF4-FFF2-40B4-BE49-F238E27FC236}">
                <a16:creationId xmlns:a16="http://schemas.microsoft.com/office/drawing/2014/main" id="{D299AC2D-25C2-8CE6-5927-7E215E7213F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7714C01B-0181-1A29-044D-6C8ED4549A2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12</xdr:row>
      <xdr:rowOff>208213</xdr:rowOff>
    </xdr:from>
    <xdr:to>
      <xdr:col>7</xdr:col>
      <xdr:colOff>205343</xdr:colOff>
      <xdr:row>13</xdr:row>
      <xdr:rowOff>210861</xdr:rowOff>
    </xdr:to>
    <xdr:grpSp>
      <xdr:nvGrpSpPr>
        <xdr:cNvPr id="98" name="Agrupar 97">
          <a:extLst>
            <a:ext uri="{FF2B5EF4-FFF2-40B4-BE49-F238E27FC236}">
              <a16:creationId xmlns:a16="http://schemas.microsoft.com/office/drawing/2014/main" id="{D50A7F23-997B-4188-97AD-835256F03C0F}"/>
            </a:ext>
          </a:extLst>
        </xdr:cNvPr>
        <xdr:cNvGrpSpPr/>
      </xdr:nvGrpSpPr>
      <xdr:grpSpPr>
        <a:xfrm>
          <a:off x="6623627" y="3008120"/>
          <a:ext cx="182763" cy="224160"/>
          <a:chOff x="6572251" y="7468545"/>
          <a:chExt cx="223837" cy="280178"/>
        </a:xfrm>
      </xdr:grpSpPr>
      <xdr:sp macro="" textlink="">
        <xdr:nvSpPr>
          <xdr:cNvPr id="99" name="Elipse 98">
            <a:extLst>
              <a:ext uri="{FF2B5EF4-FFF2-40B4-BE49-F238E27FC236}">
                <a16:creationId xmlns:a16="http://schemas.microsoft.com/office/drawing/2014/main" id="{F7B75FF8-F7BF-194A-ECF1-D0A9C74E470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1E25BE4E-70EF-2385-3046-056278E5C80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12</xdr:row>
      <xdr:rowOff>216783</xdr:rowOff>
    </xdr:from>
    <xdr:to>
      <xdr:col>7</xdr:col>
      <xdr:colOff>725408</xdr:colOff>
      <xdr:row>13</xdr:row>
      <xdr:rowOff>220278</xdr:rowOff>
    </xdr:to>
    <xdr:grpSp>
      <xdr:nvGrpSpPr>
        <xdr:cNvPr id="101" name="Agrupar 100">
          <a:extLst>
            <a:ext uri="{FF2B5EF4-FFF2-40B4-BE49-F238E27FC236}">
              <a16:creationId xmlns:a16="http://schemas.microsoft.com/office/drawing/2014/main" id="{62FFEA9D-2054-4A82-8D83-AC68727584A5}"/>
            </a:ext>
          </a:extLst>
        </xdr:cNvPr>
        <xdr:cNvGrpSpPr/>
      </xdr:nvGrpSpPr>
      <xdr:grpSpPr>
        <a:xfrm>
          <a:off x="7143692" y="3016690"/>
          <a:ext cx="182763" cy="225007"/>
          <a:chOff x="6572251" y="7477594"/>
          <a:chExt cx="223837" cy="280178"/>
        </a:xfrm>
      </xdr:grpSpPr>
      <xdr:sp macro="" textlink="">
        <xdr:nvSpPr>
          <xdr:cNvPr id="102" name="Elipse 101">
            <a:extLst>
              <a:ext uri="{FF2B5EF4-FFF2-40B4-BE49-F238E27FC236}">
                <a16:creationId xmlns:a16="http://schemas.microsoft.com/office/drawing/2014/main" id="{46A45A8B-CBDC-5D97-C705-6E037CD128B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3" name="CaixaDeTexto 102">
            <a:extLst>
              <a:ext uri="{FF2B5EF4-FFF2-40B4-BE49-F238E27FC236}">
                <a16:creationId xmlns:a16="http://schemas.microsoft.com/office/drawing/2014/main" id="{A65AD40C-3AC2-6DA7-7C96-36A494D48B8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13</xdr:row>
      <xdr:rowOff>208213</xdr:rowOff>
    </xdr:from>
    <xdr:to>
      <xdr:col>7</xdr:col>
      <xdr:colOff>205343</xdr:colOff>
      <xdr:row>14</xdr:row>
      <xdr:rowOff>210861</xdr:rowOff>
    </xdr:to>
    <xdr:grpSp>
      <xdr:nvGrpSpPr>
        <xdr:cNvPr id="104" name="Agrupar 103">
          <a:extLst>
            <a:ext uri="{FF2B5EF4-FFF2-40B4-BE49-F238E27FC236}">
              <a16:creationId xmlns:a16="http://schemas.microsoft.com/office/drawing/2014/main" id="{AE956D11-E0DB-4211-8A25-E8B0C8F5410F}"/>
            </a:ext>
          </a:extLst>
        </xdr:cNvPr>
        <xdr:cNvGrpSpPr/>
      </xdr:nvGrpSpPr>
      <xdr:grpSpPr>
        <a:xfrm>
          <a:off x="6623627" y="3229632"/>
          <a:ext cx="182763" cy="224159"/>
          <a:chOff x="6572251" y="7468545"/>
          <a:chExt cx="223837" cy="280178"/>
        </a:xfrm>
      </xdr:grpSpPr>
      <xdr:sp macro="" textlink="">
        <xdr:nvSpPr>
          <xdr:cNvPr id="105" name="Elipse 104">
            <a:extLst>
              <a:ext uri="{FF2B5EF4-FFF2-40B4-BE49-F238E27FC236}">
                <a16:creationId xmlns:a16="http://schemas.microsoft.com/office/drawing/2014/main" id="{E8D07B02-B80A-F113-974E-4C2026F5C51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6" name="CaixaDeTexto 105">
            <a:extLst>
              <a:ext uri="{FF2B5EF4-FFF2-40B4-BE49-F238E27FC236}">
                <a16:creationId xmlns:a16="http://schemas.microsoft.com/office/drawing/2014/main" id="{E56647AE-53E4-4CC2-021A-88B7C06C0F2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13</xdr:row>
      <xdr:rowOff>216783</xdr:rowOff>
    </xdr:from>
    <xdr:to>
      <xdr:col>7</xdr:col>
      <xdr:colOff>725408</xdr:colOff>
      <xdr:row>14</xdr:row>
      <xdr:rowOff>220278</xdr:rowOff>
    </xdr:to>
    <xdr:grpSp>
      <xdr:nvGrpSpPr>
        <xdr:cNvPr id="107" name="Agrupar 106">
          <a:extLst>
            <a:ext uri="{FF2B5EF4-FFF2-40B4-BE49-F238E27FC236}">
              <a16:creationId xmlns:a16="http://schemas.microsoft.com/office/drawing/2014/main" id="{D15247C2-1638-4AA4-AF1F-D48BD50B5034}"/>
            </a:ext>
          </a:extLst>
        </xdr:cNvPr>
        <xdr:cNvGrpSpPr/>
      </xdr:nvGrpSpPr>
      <xdr:grpSpPr>
        <a:xfrm>
          <a:off x="7143692" y="3238202"/>
          <a:ext cx="182763" cy="225006"/>
          <a:chOff x="6572251" y="7477594"/>
          <a:chExt cx="223837" cy="280178"/>
        </a:xfrm>
      </xdr:grpSpPr>
      <xdr:sp macro="" textlink="">
        <xdr:nvSpPr>
          <xdr:cNvPr id="108" name="Elipse 107">
            <a:extLst>
              <a:ext uri="{FF2B5EF4-FFF2-40B4-BE49-F238E27FC236}">
                <a16:creationId xmlns:a16="http://schemas.microsoft.com/office/drawing/2014/main" id="{72AA21D0-7F05-04DE-D1CA-3CEC7253A2A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47BF3615-7471-4FCB-AC49-E15A8C807A7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10</xdr:row>
      <xdr:rowOff>208213</xdr:rowOff>
    </xdr:from>
    <xdr:to>
      <xdr:col>7</xdr:col>
      <xdr:colOff>205343</xdr:colOff>
      <xdr:row>11</xdr:row>
      <xdr:rowOff>210861</xdr:rowOff>
    </xdr:to>
    <xdr:grpSp>
      <xdr:nvGrpSpPr>
        <xdr:cNvPr id="110" name="Agrupar 109">
          <a:extLst>
            <a:ext uri="{FF2B5EF4-FFF2-40B4-BE49-F238E27FC236}">
              <a16:creationId xmlns:a16="http://schemas.microsoft.com/office/drawing/2014/main" id="{D428BDAC-1B7D-465C-B95C-8A469816F120}"/>
            </a:ext>
          </a:extLst>
        </xdr:cNvPr>
        <xdr:cNvGrpSpPr/>
      </xdr:nvGrpSpPr>
      <xdr:grpSpPr>
        <a:xfrm>
          <a:off x="6623627" y="2565097"/>
          <a:ext cx="182763" cy="224159"/>
          <a:chOff x="6572251" y="7468545"/>
          <a:chExt cx="223837" cy="280178"/>
        </a:xfrm>
      </xdr:grpSpPr>
      <xdr:sp macro="" textlink="">
        <xdr:nvSpPr>
          <xdr:cNvPr id="111" name="Elipse 110">
            <a:extLst>
              <a:ext uri="{FF2B5EF4-FFF2-40B4-BE49-F238E27FC236}">
                <a16:creationId xmlns:a16="http://schemas.microsoft.com/office/drawing/2014/main" id="{AF7CAF79-B179-98F3-8D5F-669B8722B08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4A5E5449-E937-0FA9-306D-5A23B6B2705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10</xdr:row>
      <xdr:rowOff>216783</xdr:rowOff>
    </xdr:from>
    <xdr:to>
      <xdr:col>7</xdr:col>
      <xdr:colOff>725408</xdr:colOff>
      <xdr:row>11</xdr:row>
      <xdr:rowOff>220278</xdr:rowOff>
    </xdr:to>
    <xdr:grpSp>
      <xdr:nvGrpSpPr>
        <xdr:cNvPr id="113" name="Agrupar 112">
          <a:extLst>
            <a:ext uri="{FF2B5EF4-FFF2-40B4-BE49-F238E27FC236}">
              <a16:creationId xmlns:a16="http://schemas.microsoft.com/office/drawing/2014/main" id="{96F1772D-DF3B-4F9E-A691-0AE4B65669E4}"/>
            </a:ext>
          </a:extLst>
        </xdr:cNvPr>
        <xdr:cNvGrpSpPr/>
      </xdr:nvGrpSpPr>
      <xdr:grpSpPr>
        <a:xfrm>
          <a:off x="7143692" y="2573667"/>
          <a:ext cx="182763" cy="225006"/>
          <a:chOff x="6572251" y="7477594"/>
          <a:chExt cx="223837" cy="280178"/>
        </a:xfrm>
      </xdr:grpSpPr>
      <xdr:sp macro="" textlink="">
        <xdr:nvSpPr>
          <xdr:cNvPr id="114" name="Elipse 113">
            <a:extLst>
              <a:ext uri="{FF2B5EF4-FFF2-40B4-BE49-F238E27FC236}">
                <a16:creationId xmlns:a16="http://schemas.microsoft.com/office/drawing/2014/main" id="{C9ABC616-E1CA-2604-8B5C-F3E6EEB0241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5" name="CaixaDeTexto 114">
            <a:extLst>
              <a:ext uri="{FF2B5EF4-FFF2-40B4-BE49-F238E27FC236}">
                <a16:creationId xmlns:a16="http://schemas.microsoft.com/office/drawing/2014/main" id="{E5FFCDBE-0FB3-D05D-72E0-9F5E5D015B4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16</xdr:row>
      <xdr:rowOff>208213</xdr:rowOff>
    </xdr:from>
    <xdr:to>
      <xdr:col>7</xdr:col>
      <xdr:colOff>205343</xdr:colOff>
      <xdr:row>17</xdr:row>
      <xdr:rowOff>210861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1D8B0A04-B57C-4FEF-8818-0671E170B8DE}"/>
            </a:ext>
          </a:extLst>
        </xdr:cNvPr>
        <xdr:cNvGrpSpPr/>
      </xdr:nvGrpSpPr>
      <xdr:grpSpPr>
        <a:xfrm>
          <a:off x="6623627" y="3894166"/>
          <a:ext cx="182763" cy="224160"/>
          <a:chOff x="6572251" y="7468545"/>
          <a:chExt cx="223837" cy="280178"/>
        </a:xfrm>
      </xdr:grpSpPr>
      <xdr:sp macro="" textlink="">
        <xdr:nvSpPr>
          <xdr:cNvPr id="123" name="Elipse 122">
            <a:extLst>
              <a:ext uri="{FF2B5EF4-FFF2-40B4-BE49-F238E27FC236}">
                <a16:creationId xmlns:a16="http://schemas.microsoft.com/office/drawing/2014/main" id="{0C415400-8392-B420-8CE7-5B2496591DF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4" name="CaixaDeTexto 123">
            <a:extLst>
              <a:ext uri="{FF2B5EF4-FFF2-40B4-BE49-F238E27FC236}">
                <a16:creationId xmlns:a16="http://schemas.microsoft.com/office/drawing/2014/main" id="{D572F29C-D11D-2776-D756-21B32EFE417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16</xdr:row>
      <xdr:rowOff>216783</xdr:rowOff>
    </xdr:from>
    <xdr:to>
      <xdr:col>7</xdr:col>
      <xdr:colOff>725408</xdr:colOff>
      <xdr:row>17</xdr:row>
      <xdr:rowOff>220278</xdr:rowOff>
    </xdr:to>
    <xdr:grpSp>
      <xdr:nvGrpSpPr>
        <xdr:cNvPr id="125" name="Agrupar 124">
          <a:extLst>
            <a:ext uri="{FF2B5EF4-FFF2-40B4-BE49-F238E27FC236}">
              <a16:creationId xmlns:a16="http://schemas.microsoft.com/office/drawing/2014/main" id="{79B16D8A-1C6A-4DD6-9A29-7B2D964D0DE7}"/>
            </a:ext>
          </a:extLst>
        </xdr:cNvPr>
        <xdr:cNvGrpSpPr/>
      </xdr:nvGrpSpPr>
      <xdr:grpSpPr>
        <a:xfrm>
          <a:off x="7143692" y="3902736"/>
          <a:ext cx="182763" cy="225007"/>
          <a:chOff x="6572251" y="7477594"/>
          <a:chExt cx="223837" cy="280178"/>
        </a:xfrm>
      </xdr:grpSpPr>
      <xdr:sp macro="" textlink="">
        <xdr:nvSpPr>
          <xdr:cNvPr id="126" name="Elipse 125">
            <a:extLst>
              <a:ext uri="{FF2B5EF4-FFF2-40B4-BE49-F238E27FC236}">
                <a16:creationId xmlns:a16="http://schemas.microsoft.com/office/drawing/2014/main" id="{D51BCCCF-96AA-9CFE-9B06-D489207F4DD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27" name="CaixaDeTexto 126">
            <a:extLst>
              <a:ext uri="{FF2B5EF4-FFF2-40B4-BE49-F238E27FC236}">
                <a16:creationId xmlns:a16="http://schemas.microsoft.com/office/drawing/2014/main" id="{C556B07C-E2E9-E565-8C19-9D18B38523F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17</xdr:row>
      <xdr:rowOff>208213</xdr:rowOff>
    </xdr:from>
    <xdr:to>
      <xdr:col>7</xdr:col>
      <xdr:colOff>205343</xdr:colOff>
      <xdr:row>18</xdr:row>
      <xdr:rowOff>210861</xdr:rowOff>
    </xdr:to>
    <xdr:grpSp>
      <xdr:nvGrpSpPr>
        <xdr:cNvPr id="128" name="Agrupar 127">
          <a:extLst>
            <a:ext uri="{FF2B5EF4-FFF2-40B4-BE49-F238E27FC236}">
              <a16:creationId xmlns:a16="http://schemas.microsoft.com/office/drawing/2014/main" id="{787F0D9B-7CD6-4C10-836F-A5974FA4B93D}"/>
            </a:ext>
          </a:extLst>
        </xdr:cNvPr>
        <xdr:cNvGrpSpPr/>
      </xdr:nvGrpSpPr>
      <xdr:grpSpPr>
        <a:xfrm>
          <a:off x="6623627" y="4115678"/>
          <a:ext cx="182763" cy="224160"/>
          <a:chOff x="6572251" y="7468545"/>
          <a:chExt cx="223837" cy="280178"/>
        </a:xfrm>
      </xdr:grpSpPr>
      <xdr:sp macro="" textlink="">
        <xdr:nvSpPr>
          <xdr:cNvPr id="129" name="Elipse 128">
            <a:extLst>
              <a:ext uri="{FF2B5EF4-FFF2-40B4-BE49-F238E27FC236}">
                <a16:creationId xmlns:a16="http://schemas.microsoft.com/office/drawing/2014/main" id="{048BF88D-4E21-E203-368D-051BEABB246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30" name="CaixaDeTexto 129">
            <a:extLst>
              <a:ext uri="{FF2B5EF4-FFF2-40B4-BE49-F238E27FC236}">
                <a16:creationId xmlns:a16="http://schemas.microsoft.com/office/drawing/2014/main" id="{16519CFA-1160-D64A-5DB9-05EE4D3A9F9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17</xdr:row>
      <xdr:rowOff>216783</xdr:rowOff>
    </xdr:from>
    <xdr:to>
      <xdr:col>7</xdr:col>
      <xdr:colOff>725408</xdr:colOff>
      <xdr:row>18</xdr:row>
      <xdr:rowOff>220278</xdr:rowOff>
    </xdr:to>
    <xdr:grpSp>
      <xdr:nvGrpSpPr>
        <xdr:cNvPr id="131" name="Agrupar 130">
          <a:extLst>
            <a:ext uri="{FF2B5EF4-FFF2-40B4-BE49-F238E27FC236}">
              <a16:creationId xmlns:a16="http://schemas.microsoft.com/office/drawing/2014/main" id="{040E57F1-FA28-4A25-9B24-77E140A892DC}"/>
            </a:ext>
          </a:extLst>
        </xdr:cNvPr>
        <xdr:cNvGrpSpPr/>
      </xdr:nvGrpSpPr>
      <xdr:grpSpPr>
        <a:xfrm>
          <a:off x="7143692" y="4124248"/>
          <a:ext cx="182763" cy="225007"/>
          <a:chOff x="6572251" y="7477594"/>
          <a:chExt cx="223837" cy="280178"/>
        </a:xfrm>
      </xdr:grpSpPr>
      <xdr:sp macro="" textlink="">
        <xdr:nvSpPr>
          <xdr:cNvPr id="132" name="Elipse 131">
            <a:extLst>
              <a:ext uri="{FF2B5EF4-FFF2-40B4-BE49-F238E27FC236}">
                <a16:creationId xmlns:a16="http://schemas.microsoft.com/office/drawing/2014/main" id="{853B3DAB-25C3-BF4C-A54B-6FCF6C117FC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33" name="CaixaDeTexto 132">
            <a:extLst>
              <a:ext uri="{FF2B5EF4-FFF2-40B4-BE49-F238E27FC236}">
                <a16:creationId xmlns:a16="http://schemas.microsoft.com/office/drawing/2014/main" id="{795B45FB-C4B2-6619-3302-2999EE32DE0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18</xdr:row>
      <xdr:rowOff>208213</xdr:rowOff>
    </xdr:from>
    <xdr:to>
      <xdr:col>7</xdr:col>
      <xdr:colOff>205343</xdr:colOff>
      <xdr:row>19</xdr:row>
      <xdr:rowOff>210861</xdr:rowOff>
    </xdr:to>
    <xdr:grpSp>
      <xdr:nvGrpSpPr>
        <xdr:cNvPr id="134" name="Agrupar 133">
          <a:extLst>
            <a:ext uri="{FF2B5EF4-FFF2-40B4-BE49-F238E27FC236}">
              <a16:creationId xmlns:a16="http://schemas.microsoft.com/office/drawing/2014/main" id="{0AE3E3A1-6CC3-4CB0-B635-B180D3E2BB1D}"/>
            </a:ext>
          </a:extLst>
        </xdr:cNvPr>
        <xdr:cNvGrpSpPr/>
      </xdr:nvGrpSpPr>
      <xdr:grpSpPr>
        <a:xfrm>
          <a:off x="6623627" y="4337190"/>
          <a:ext cx="182763" cy="224159"/>
          <a:chOff x="6572251" y="7468545"/>
          <a:chExt cx="223837" cy="280178"/>
        </a:xfrm>
      </xdr:grpSpPr>
      <xdr:sp macro="" textlink="">
        <xdr:nvSpPr>
          <xdr:cNvPr id="135" name="Elipse 134">
            <a:extLst>
              <a:ext uri="{FF2B5EF4-FFF2-40B4-BE49-F238E27FC236}">
                <a16:creationId xmlns:a16="http://schemas.microsoft.com/office/drawing/2014/main" id="{588D1ABA-C646-BE4E-E586-D4AF6B32909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36" name="CaixaDeTexto 135">
            <a:extLst>
              <a:ext uri="{FF2B5EF4-FFF2-40B4-BE49-F238E27FC236}">
                <a16:creationId xmlns:a16="http://schemas.microsoft.com/office/drawing/2014/main" id="{5ACBE53E-A151-AE31-56E9-A18BC9A7F92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18</xdr:row>
      <xdr:rowOff>216783</xdr:rowOff>
    </xdr:from>
    <xdr:to>
      <xdr:col>7</xdr:col>
      <xdr:colOff>725408</xdr:colOff>
      <xdr:row>19</xdr:row>
      <xdr:rowOff>220278</xdr:rowOff>
    </xdr:to>
    <xdr:grpSp>
      <xdr:nvGrpSpPr>
        <xdr:cNvPr id="137" name="Agrupar 136">
          <a:extLst>
            <a:ext uri="{FF2B5EF4-FFF2-40B4-BE49-F238E27FC236}">
              <a16:creationId xmlns:a16="http://schemas.microsoft.com/office/drawing/2014/main" id="{3D41B1EB-317A-4801-86B5-39748E0FF0C7}"/>
            </a:ext>
          </a:extLst>
        </xdr:cNvPr>
        <xdr:cNvGrpSpPr/>
      </xdr:nvGrpSpPr>
      <xdr:grpSpPr>
        <a:xfrm>
          <a:off x="7143692" y="4345760"/>
          <a:ext cx="182763" cy="225006"/>
          <a:chOff x="6572251" y="7477594"/>
          <a:chExt cx="223837" cy="280178"/>
        </a:xfrm>
      </xdr:grpSpPr>
      <xdr:sp macro="" textlink="">
        <xdr:nvSpPr>
          <xdr:cNvPr id="138" name="Elipse 137">
            <a:extLst>
              <a:ext uri="{FF2B5EF4-FFF2-40B4-BE49-F238E27FC236}">
                <a16:creationId xmlns:a16="http://schemas.microsoft.com/office/drawing/2014/main" id="{952D1BFB-3C82-D4FE-456D-012E67DA7E7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39" name="CaixaDeTexto 138">
            <a:extLst>
              <a:ext uri="{FF2B5EF4-FFF2-40B4-BE49-F238E27FC236}">
                <a16:creationId xmlns:a16="http://schemas.microsoft.com/office/drawing/2014/main" id="{8A93BEC1-38C5-81DB-C465-8A5223F6208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21</xdr:row>
      <xdr:rowOff>208213</xdr:rowOff>
    </xdr:from>
    <xdr:to>
      <xdr:col>7</xdr:col>
      <xdr:colOff>205343</xdr:colOff>
      <xdr:row>22</xdr:row>
      <xdr:rowOff>210861</xdr:rowOff>
    </xdr:to>
    <xdr:grpSp>
      <xdr:nvGrpSpPr>
        <xdr:cNvPr id="152" name="Agrupar 151">
          <a:extLst>
            <a:ext uri="{FF2B5EF4-FFF2-40B4-BE49-F238E27FC236}">
              <a16:creationId xmlns:a16="http://schemas.microsoft.com/office/drawing/2014/main" id="{CE9BACC6-22CD-4CBF-8486-B63CAAB594FA}"/>
            </a:ext>
          </a:extLst>
        </xdr:cNvPr>
        <xdr:cNvGrpSpPr/>
      </xdr:nvGrpSpPr>
      <xdr:grpSpPr>
        <a:xfrm>
          <a:off x="6623627" y="5001725"/>
          <a:ext cx="182763" cy="224159"/>
          <a:chOff x="6572251" y="7468545"/>
          <a:chExt cx="223837" cy="280178"/>
        </a:xfrm>
      </xdr:grpSpPr>
      <xdr:sp macro="" textlink="">
        <xdr:nvSpPr>
          <xdr:cNvPr id="153" name="Elipse 152">
            <a:extLst>
              <a:ext uri="{FF2B5EF4-FFF2-40B4-BE49-F238E27FC236}">
                <a16:creationId xmlns:a16="http://schemas.microsoft.com/office/drawing/2014/main" id="{EC23D8AC-866B-59ED-EDD5-B4F35BB0878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54" name="CaixaDeTexto 153">
            <a:extLst>
              <a:ext uri="{FF2B5EF4-FFF2-40B4-BE49-F238E27FC236}">
                <a16:creationId xmlns:a16="http://schemas.microsoft.com/office/drawing/2014/main" id="{12849303-27D4-0F3E-0A5C-F2A371B0881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21</xdr:row>
      <xdr:rowOff>216783</xdr:rowOff>
    </xdr:from>
    <xdr:to>
      <xdr:col>7</xdr:col>
      <xdr:colOff>725408</xdr:colOff>
      <xdr:row>22</xdr:row>
      <xdr:rowOff>220278</xdr:rowOff>
    </xdr:to>
    <xdr:grpSp>
      <xdr:nvGrpSpPr>
        <xdr:cNvPr id="155" name="Agrupar 154">
          <a:extLst>
            <a:ext uri="{FF2B5EF4-FFF2-40B4-BE49-F238E27FC236}">
              <a16:creationId xmlns:a16="http://schemas.microsoft.com/office/drawing/2014/main" id="{1F1E4703-7F47-4A59-B6EF-2EA283298F35}"/>
            </a:ext>
          </a:extLst>
        </xdr:cNvPr>
        <xdr:cNvGrpSpPr/>
      </xdr:nvGrpSpPr>
      <xdr:grpSpPr>
        <a:xfrm>
          <a:off x="7143692" y="5010295"/>
          <a:ext cx="182763" cy="225006"/>
          <a:chOff x="6572251" y="7477594"/>
          <a:chExt cx="223837" cy="280178"/>
        </a:xfrm>
      </xdr:grpSpPr>
      <xdr:sp macro="" textlink="">
        <xdr:nvSpPr>
          <xdr:cNvPr id="156" name="Elipse 155">
            <a:extLst>
              <a:ext uri="{FF2B5EF4-FFF2-40B4-BE49-F238E27FC236}">
                <a16:creationId xmlns:a16="http://schemas.microsoft.com/office/drawing/2014/main" id="{4B22D9D9-B73C-A93D-2075-05935248793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57" name="CaixaDeTexto 156">
            <a:extLst>
              <a:ext uri="{FF2B5EF4-FFF2-40B4-BE49-F238E27FC236}">
                <a16:creationId xmlns:a16="http://schemas.microsoft.com/office/drawing/2014/main" id="{98B76509-8F9A-29AC-71BD-C20A4CC4E29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22</xdr:row>
      <xdr:rowOff>208213</xdr:rowOff>
    </xdr:from>
    <xdr:to>
      <xdr:col>7</xdr:col>
      <xdr:colOff>205343</xdr:colOff>
      <xdr:row>23</xdr:row>
      <xdr:rowOff>210861</xdr:rowOff>
    </xdr:to>
    <xdr:grpSp>
      <xdr:nvGrpSpPr>
        <xdr:cNvPr id="158" name="Agrupar 157">
          <a:extLst>
            <a:ext uri="{FF2B5EF4-FFF2-40B4-BE49-F238E27FC236}">
              <a16:creationId xmlns:a16="http://schemas.microsoft.com/office/drawing/2014/main" id="{21A80F46-7CBE-4368-B9E6-C49F8BCA82FC}"/>
            </a:ext>
          </a:extLst>
        </xdr:cNvPr>
        <xdr:cNvGrpSpPr/>
      </xdr:nvGrpSpPr>
      <xdr:grpSpPr>
        <a:xfrm>
          <a:off x="6623627" y="5223236"/>
          <a:ext cx="182763" cy="224160"/>
          <a:chOff x="6572251" y="7468545"/>
          <a:chExt cx="223837" cy="280178"/>
        </a:xfrm>
      </xdr:grpSpPr>
      <xdr:sp macro="" textlink="">
        <xdr:nvSpPr>
          <xdr:cNvPr id="159" name="Elipse 158">
            <a:extLst>
              <a:ext uri="{FF2B5EF4-FFF2-40B4-BE49-F238E27FC236}">
                <a16:creationId xmlns:a16="http://schemas.microsoft.com/office/drawing/2014/main" id="{6717F2B0-17C0-753A-0267-9453351A27C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60" name="CaixaDeTexto 159">
            <a:extLst>
              <a:ext uri="{FF2B5EF4-FFF2-40B4-BE49-F238E27FC236}">
                <a16:creationId xmlns:a16="http://schemas.microsoft.com/office/drawing/2014/main" id="{86DFBF1B-D665-188A-80BE-7D927FA7BA3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22</xdr:row>
      <xdr:rowOff>216783</xdr:rowOff>
    </xdr:from>
    <xdr:to>
      <xdr:col>7</xdr:col>
      <xdr:colOff>725408</xdr:colOff>
      <xdr:row>23</xdr:row>
      <xdr:rowOff>220278</xdr:rowOff>
    </xdr:to>
    <xdr:grpSp>
      <xdr:nvGrpSpPr>
        <xdr:cNvPr id="161" name="Agrupar 160">
          <a:extLst>
            <a:ext uri="{FF2B5EF4-FFF2-40B4-BE49-F238E27FC236}">
              <a16:creationId xmlns:a16="http://schemas.microsoft.com/office/drawing/2014/main" id="{D9E3D7BE-CECE-4AF2-85BE-E04CEAEF2790}"/>
            </a:ext>
          </a:extLst>
        </xdr:cNvPr>
        <xdr:cNvGrpSpPr/>
      </xdr:nvGrpSpPr>
      <xdr:grpSpPr>
        <a:xfrm>
          <a:off x="7143692" y="5231806"/>
          <a:ext cx="182763" cy="225007"/>
          <a:chOff x="6572251" y="7477594"/>
          <a:chExt cx="223837" cy="280178"/>
        </a:xfrm>
      </xdr:grpSpPr>
      <xdr:sp macro="" textlink="">
        <xdr:nvSpPr>
          <xdr:cNvPr id="162" name="Elipse 161">
            <a:extLst>
              <a:ext uri="{FF2B5EF4-FFF2-40B4-BE49-F238E27FC236}">
                <a16:creationId xmlns:a16="http://schemas.microsoft.com/office/drawing/2014/main" id="{DF1214C9-A4E0-F060-ED99-B60267803F8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63" name="CaixaDeTexto 162">
            <a:extLst>
              <a:ext uri="{FF2B5EF4-FFF2-40B4-BE49-F238E27FC236}">
                <a16:creationId xmlns:a16="http://schemas.microsoft.com/office/drawing/2014/main" id="{1DEDAD5F-BA71-D120-FA1C-16024E56427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23</xdr:row>
      <xdr:rowOff>208213</xdr:rowOff>
    </xdr:from>
    <xdr:to>
      <xdr:col>7</xdr:col>
      <xdr:colOff>205343</xdr:colOff>
      <xdr:row>24</xdr:row>
      <xdr:rowOff>210861</xdr:rowOff>
    </xdr:to>
    <xdr:grpSp>
      <xdr:nvGrpSpPr>
        <xdr:cNvPr id="164" name="Agrupar 163">
          <a:extLst>
            <a:ext uri="{FF2B5EF4-FFF2-40B4-BE49-F238E27FC236}">
              <a16:creationId xmlns:a16="http://schemas.microsoft.com/office/drawing/2014/main" id="{E370E1CA-D8A5-4AA2-A79B-B0105D4B6C95}"/>
            </a:ext>
          </a:extLst>
        </xdr:cNvPr>
        <xdr:cNvGrpSpPr/>
      </xdr:nvGrpSpPr>
      <xdr:grpSpPr>
        <a:xfrm>
          <a:off x="6623627" y="5444748"/>
          <a:ext cx="182763" cy="224160"/>
          <a:chOff x="6572251" y="7468545"/>
          <a:chExt cx="223837" cy="280178"/>
        </a:xfrm>
      </xdr:grpSpPr>
      <xdr:sp macro="" textlink="">
        <xdr:nvSpPr>
          <xdr:cNvPr id="165" name="Elipse 164">
            <a:extLst>
              <a:ext uri="{FF2B5EF4-FFF2-40B4-BE49-F238E27FC236}">
                <a16:creationId xmlns:a16="http://schemas.microsoft.com/office/drawing/2014/main" id="{6DE7BA76-39B7-1A1F-0A86-8CD968EC64B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66" name="CaixaDeTexto 165">
            <a:extLst>
              <a:ext uri="{FF2B5EF4-FFF2-40B4-BE49-F238E27FC236}">
                <a16:creationId xmlns:a16="http://schemas.microsoft.com/office/drawing/2014/main" id="{D0AA3516-13DB-7667-4493-538E6205139B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23</xdr:row>
      <xdr:rowOff>216783</xdr:rowOff>
    </xdr:from>
    <xdr:to>
      <xdr:col>7</xdr:col>
      <xdr:colOff>725408</xdr:colOff>
      <xdr:row>24</xdr:row>
      <xdr:rowOff>220278</xdr:rowOff>
    </xdr:to>
    <xdr:grpSp>
      <xdr:nvGrpSpPr>
        <xdr:cNvPr id="167" name="Agrupar 166">
          <a:extLst>
            <a:ext uri="{FF2B5EF4-FFF2-40B4-BE49-F238E27FC236}">
              <a16:creationId xmlns:a16="http://schemas.microsoft.com/office/drawing/2014/main" id="{6806716D-5420-4655-9118-1AED137390FA}"/>
            </a:ext>
          </a:extLst>
        </xdr:cNvPr>
        <xdr:cNvGrpSpPr/>
      </xdr:nvGrpSpPr>
      <xdr:grpSpPr>
        <a:xfrm>
          <a:off x="7143692" y="5453318"/>
          <a:ext cx="182763" cy="225007"/>
          <a:chOff x="6572251" y="7477594"/>
          <a:chExt cx="223837" cy="280178"/>
        </a:xfrm>
      </xdr:grpSpPr>
      <xdr:sp macro="" textlink="">
        <xdr:nvSpPr>
          <xdr:cNvPr id="168" name="Elipse 167">
            <a:extLst>
              <a:ext uri="{FF2B5EF4-FFF2-40B4-BE49-F238E27FC236}">
                <a16:creationId xmlns:a16="http://schemas.microsoft.com/office/drawing/2014/main" id="{9B73D652-DDF9-EEA5-D82E-85C00993D07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69" name="CaixaDeTexto 168">
            <a:extLst>
              <a:ext uri="{FF2B5EF4-FFF2-40B4-BE49-F238E27FC236}">
                <a16:creationId xmlns:a16="http://schemas.microsoft.com/office/drawing/2014/main" id="{14AA1C67-5B58-BD69-5C22-8E7A82DA6C2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20</xdr:row>
      <xdr:rowOff>208213</xdr:rowOff>
    </xdr:from>
    <xdr:to>
      <xdr:col>7</xdr:col>
      <xdr:colOff>205343</xdr:colOff>
      <xdr:row>21</xdr:row>
      <xdr:rowOff>210861</xdr:rowOff>
    </xdr:to>
    <xdr:grpSp>
      <xdr:nvGrpSpPr>
        <xdr:cNvPr id="170" name="Agrupar 169">
          <a:extLst>
            <a:ext uri="{FF2B5EF4-FFF2-40B4-BE49-F238E27FC236}">
              <a16:creationId xmlns:a16="http://schemas.microsoft.com/office/drawing/2014/main" id="{F8795AEF-ADB9-4311-BEC9-A95F69097267}"/>
            </a:ext>
          </a:extLst>
        </xdr:cNvPr>
        <xdr:cNvGrpSpPr/>
      </xdr:nvGrpSpPr>
      <xdr:grpSpPr>
        <a:xfrm>
          <a:off x="6623627" y="4780213"/>
          <a:ext cx="182763" cy="224160"/>
          <a:chOff x="6572251" y="7468545"/>
          <a:chExt cx="223837" cy="280178"/>
        </a:xfrm>
      </xdr:grpSpPr>
      <xdr:sp macro="" textlink="">
        <xdr:nvSpPr>
          <xdr:cNvPr id="171" name="Elipse 170">
            <a:extLst>
              <a:ext uri="{FF2B5EF4-FFF2-40B4-BE49-F238E27FC236}">
                <a16:creationId xmlns:a16="http://schemas.microsoft.com/office/drawing/2014/main" id="{2FD5953A-281E-B6D0-C0FD-796FFEF019D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72" name="CaixaDeTexto 171">
            <a:extLst>
              <a:ext uri="{FF2B5EF4-FFF2-40B4-BE49-F238E27FC236}">
                <a16:creationId xmlns:a16="http://schemas.microsoft.com/office/drawing/2014/main" id="{FF1D993C-30FC-5EDC-D7BB-4EC658ABE39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20</xdr:row>
      <xdr:rowOff>216783</xdr:rowOff>
    </xdr:from>
    <xdr:to>
      <xdr:col>7</xdr:col>
      <xdr:colOff>725408</xdr:colOff>
      <xdr:row>21</xdr:row>
      <xdr:rowOff>220278</xdr:rowOff>
    </xdr:to>
    <xdr:grpSp>
      <xdr:nvGrpSpPr>
        <xdr:cNvPr id="173" name="Agrupar 172">
          <a:extLst>
            <a:ext uri="{FF2B5EF4-FFF2-40B4-BE49-F238E27FC236}">
              <a16:creationId xmlns:a16="http://schemas.microsoft.com/office/drawing/2014/main" id="{F6FB4620-50E9-44C5-B952-3406B6BA85F3}"/>
            </a:ext>
          </a:extLst>
        </xdr:cNvPr>
        <xdr:cNvGrpSpPr/>
      </xdr:nvGrpSpPr>
      <xdr:grpSpPr>
        <a:xfrm>
          <a:off x="7143692" y="4788783"/>
          <a:ext cx="182763" cy="225007"/>
          <a:chOff x="6572251" y="7477594"/>
          <a:chExt cx="223837" cy="280178"/>
        </a:xfrm>
      </xdr:grpSpPr>
      <xdr:sp macro="" textlink="">
        <xdr:nvSpPr>
          <xdr:cNvPr id="174" name="Elipse 173">
            <a:extLst>
              <a:ext uri="{FF2B5EF4-FFF2-40B4-BE49-F238E27FC236}">
                <a16:creationId xmlns:a16="http://schemas.microsoft.com/office/drawing/2014/main" id="{9F5C16B1-8A7C-4340-E3A6-0C94CA0B87E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75" name="CaixaDeTexto 174">
            <a:extLst>
              <a:ext uri="{FF2B5EF4-FFF2-40B4-BE49-F238E27FC236}">
                <a16:creationId xmlns:a16="http://schemas.microsoft.com/office/drawing/2014/main" id="{6CEF2AD6-D3A2-6A21-B6B7-1E478A98D56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26</xdr:row>
      <xdr:rowOff>208213</xdr:rowOff>
    </xdr:from>
    <xdr:to>
      <xdr:col>7</xdr:col>
      <xdr:colOff>205343</xdr:colOff>
      <xdr:row>27</xdr:row>
      <xdr:rowOff>210861</xdr:rowOff>
    </xdr:to>
    <xdr:grpSp>
      <xdr:nvGrpSpPr>
        <xdr:cNvPr id="182" name="Agrupar 181">
          <a:extLst>
            <a:ext uri="{FF2B5EF4-FFF2-40B4-BE49-F238E27FC236}">
              <a16:creationId xmlns:a16="http://schemas.microsoft.com/office/drawing/2014/main" id="{A3484DF0-C5BD-4261-8BBB-170ED44CDAF9}"/>
            </a:ext>
          </a:extLst>
        </xdr:cNvPr>
        <xdr:cNvGrpSpPr/>
      </xdr:nvGrpSpPr>
      <xdr:grpSpPr>
        <a:xfrm>
          <a:off x="6623627" y="6109283"/>
          <a:ext cx="182763" cy="224159"/>
          <a:chOff x="6572251" y="7468545"/>
          <a:chExt cx="223837" cy="280178"/>
        </a:xfrm>
      </xdr:grpSpPr>
      <xdr:sp macro="" textlink="">
        <xdr:nvSpPr>
          <xdr:cNvPr id="183" name="Elipse 182">
            <a:extLst>
              <a:ext uri="{FF2B5EF4-FFF2-40B4-BE49-F238E27FC236}">
                <a16:creationId xmlns:a16="http://schemas.microsoft.com/office/drawing/2014/main" id="{DB83687B-91C7-5EEB-7EF4-45D6B15C2C9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84" name="CaixaDeTexto 183">
            <a:extLst>
              <a:ext uri="{FF2B5EF4-FFF2-40B4-BE49-F238E27FC236}">
                <a16:creationId xmlns:a16="http://schemas.microsoft.com/office/drawing/2014/main" id="{BD0BEDBB-EFA7-6FC6-B244-86795449B19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26</xdr:row>
      <xdr:rowOff>216783</xdr:rowOff>
    </xdr:from>
    <xdr:to>
      <xdr:col>7</xdr:col>
      <xdr:colOff>725408</xdr:colOff>
      <xdr:row>27</xdr:row>
      <xdr:rowOff>220278</xdr:rowOff>
    </xdr:to>
    <xdr:grpSp>
      <xdr:nvGrpSpPr>
        <xdr:cNvPr id="185" name="Agrupar 184">
          <a:extLst>
            <a:ext uri="{FF2B5EF4-FFF2-40B4-BE49-F238E27FC236}">
              <a16:creationId xmlns:a16="http://schemas.microsoft.com/office/drawing/2014/main" id="{A2652800-FC6D-453B-A969-AA346DD0CA7C}"/>
            </a:ext>
          </a:extLst>
        </xdr:cNvPr>
        <xdr:cNvGrpSpPr/>
      </xdr:nvGrpSpPr>
      <xdr:grpSpPr>
        <a:xfrm>
          <a:off x="7143692" y="6117853"/>
          <a:ext cx="182763" cy="225006"/>
          <a:chOff x="6572251" y="7477594"/>
          <a:chExt cx="223837" cy="280178"/>
        </a:xfrm>
      </xdr:grpSpPr>
      <xdr:sp macro="" textlink="">
        <xdr:nvSpPr>
          <xdr:cNvPr id="186" name="Elipse 185">
            <a:extLst>
              <a:ext uri="{FF2B5EF4-FFF2-40B4-BE49-F238E27FC236}">
                <a16:creationId xmlns:a16="http://schemas.microsoft.com/office/drawing/2014/main" id="{51909060-FEC5-E098-5230-48A9809E940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87" name="CaixaDeTexto 186">
            <a:extLst>
              <a:ext uri="{FF2B5EF4-FFF2-40B4-BE49-F238E27FC236}">
                <a16:creationId xmlns:a16="http://schemas.microsoft.com/office/drawing/2014/main" id="{FCF816CB-623C-4FE9-16FC-B56731DA440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27</xdr:row>
      <xdr:rowOff>208213</xdr:rowOff>
    </xdr:from>
    <xdr:to>
      <xdr:col>7</xdr:col>
      <xdr:colOff>205343</xdr:colOff>
      <xdr:row>28</xdr:row>
      <xdr:rowOff>210861</xdr:rowOff>
    </xdr:to>
    <xdr:grpSp>
      <xdr:nvGrpSpPr>
        <xdr:cNvPr id="188" name="Agrupar 187">
          <a:extLst>
            <a:ext uri="{FF2B5EF4-FFF2-40B4-BE49-F238E27FC236}">
              <a16:creationId xmlns:a16="http://schemas.microsoft.com/office/drawing/2014/main" id="{FE5699BA-962E-497C-BBA8-8793F5CA88DF}"/>
            </a:ext>
          </a:extLst>
        </xdr:cNvPr>
        <xdr:cNvGrpSpPr/>
      </xdr:nvGrpSpPr>
      <xdr:grpSpPr>
        <a:xfrm>
          <a:off x="6623627" y="6330794"/>
          <a:ext cx="182763" cy="224160"/>
          <a:chOff x="6572251" y="7468545"/>
          <a:chExt cx="223837" cy="280178"/>
        </a:xfrm>
      </xdr:grpSpPr>
      <xdr:sp macro="" textlink="">
        <xdr:nvSpPr>
          <xdr:cNvPr id="189" name="Elipse 188">
            <a:extLst>
              <a:ext uri="{FF2B5EF4-FFF2-40B4-BE49-F238E27FC236}">
                <a16:creationId xmlns:a16="http://schemas.microsoft.com/office/drawing/2014/main" id="{D7C3A543-9B46-562F-CAC5-6C7ECA8CD6F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90" name="CaixaDeTexto 189">
            <a:extLst>
              <a:ext uri="{FF2B5EF4-FFF2-40B4-BE49-F238E27FC236}">
                <a16:creationId xmlns:a16="http://schemas.microsoft.com/office/drawing/2014/main" id="{DA24F77D-88C0-8105-F0F8-69CAB2A9EC9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27</xdr:row>
      <xdr:rowOff>216783</xdr:rowOff>
    </xdr:from>
    <xdr:to>
      <xdr:col>7</xdr:col>
      <xdr:colOff>725408</xdr:colOff>
      <xdr:row>28</xdr:row>
      <xdr:rowOff>220278</xdr:rowOff>
    </xdr:to>
    <xdr:grpSp>
      <xdr:nvGrpSpPr>
        <xdr:cNvPr id="191" name="Agrupar 190">
          <a:extLst>
            <a:ext uri="{FF2B5EF4-FFF2-40B4-BE49-F238E27FC236}">
              <a16:creationId xmlns:a16="http://schemas.microsoft.com/office/drawing/2014/main" id="{893B60FC-F6A8-4329-A663-3DD834E7894A}"/>
            </a:ext>
          </a:extLst>
        </xdr:cNvPr>
        <xdr:cNvGrpSpPr/>
      </xdr:nvGrpSpPr>
      <xdr:grpSpPr>
        <a:xfrm>
          <a:off x="7143692" y="6339364"/>
          <a:ext cx="182763" cy="225007"/>
          <a:chOff x="6572251" y="7477594"/>
          <a:chExt cx="223837" cy="280178"/>
        </a:xfrm>
      </xdr:grpSpPr>
      <xdr:sp macro="" textlink="">
        <xdr:nvSpPr>
          <xdr:cNvPr id="192" name="Elipse 191">
            <a:extLst>
              <a:ext uri="{FF2B5EF4-FFF2-40B4-BE49-F238E27FC236}">
                <a16:creationId xmlns:a16="http://schemas.microsoft.com/office/drawing/2014/main" id="{9BB44C00-2CCE-8033-4295-BDF402368AE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93" name="CaixaDeTexto 192">
            <a:extLst>
              <a:ext uri="{FF2B5EF4-FFF2-40B4-BE49-F238E27FC236}">
                <a16:creationId xmlns:a16="http://schemas.microsoft.com/office/drawing/2014/main" id="{21692EC5-0BED-4920-98F3-F672C994A43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28</xdr:row>
      <xdr:rowOff>208213</xdr:rowOff>
    </xdr:from>
    <xdr:to>
      <xdr:col>7</xdr:col>
      <xdr:colOff>205343</xdr:colOff>
      <xdr:row>29</xdr:row>
      <xdr:rowOff>210861</xdr:rowOff>
    </xdr:to>
    <xdr:grpSp>
      <xdr:nvGrpSpPr>
        <xdr:cNvPr id="194" name="Agrupar 193">
          <a:extLst>
            <a:ext uri="{FF2B5EF4-FFF2-40B4-BE49-F238E27FC236}">
              <a16:creationId xmlns:a16="http://schemas.microsoft.com/office/drawing/2014/main" id="{45D2FFA1-3EAD-4D52-95E0-D1836931DDE5}"/>
            </a:ext>
          </a:extLst>
        </xdr:cNvPr>
        <xdr:cNvGrpSpPr/>
      </xdr:nvGrpSpPr>
      <xdr:grpSpPr>
        <a:xfrm>
          <a:off x="6623627" y="6552306"/>
          <a:ext cx="182763" cy="224160"/>
          <a:chOff x="6572251" y="7468545"/>
          <a:chExt cx="223837" cy="280178"/>
        </a:xfrm>
      </xdr:grpSpPr>
      <xdr:sp macro="" textlink="">
        <xdr:nvSpPr>
          <xdr:cNvPr id="195" name="Elipse 194">
            <a:extLst>
              <a:ext uri="{FF2B5EF4-FFF2-40B4-BE49-F238E27FC236}">
                <a16:creationId xmlns:a16="http://schemas.microsoft.com/office/drawing/2014/main" id="{831498ED-DEC7-BB97-A1F4-A841674880C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96" name="CaixaDeTexto 195">
            <a:extLst>
              <a:ext uri="{FF2B5EF4-FFF2-40B4-BE49-F238E27FC236}">
                <a16:creationId xmlns:a16="http://schemas.microsoft.com/office/drawing/2014/main" id="{13E70A42-5D63-1487-CE67-79EEC3005B0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28</xdr:row>
      <xdr:rowOff>216783</xdr:rowOff>
    </xdr:from>
    <xdr:to>
      <xdr:col>7</xdr:col>
      <xdr:colOff>725408</xdr:colOff>
      <xdr:row>29</xdr:row>
      <xdr:rowOff>220278</xdr:rowOff>
    </xdr:to>
    <xdr:grpSp>
      <xdr:nvGrpSpPr>
        <xdr:cNvPr id="197" name="Agrupar 196">
          <a:extLst>
            <a:ext uri="{FF2B5EF4-FFF2-40B4-BE49-F238E27FC236}">
              <a16:creationId xmlns:a16="http://schemas.microsoft.com/office/drawing/2014/main" id="{FE66FFE1-9660-4FEC-A4B3-382E7F92473B}"/>
            </a:ext>
          </a:extLst>
        </xdr:cNvPr>
        <xdr:cNvGrpSpPr/>
      </xdr:nvGrpSpPr>
      <xdr:grpSpPr>
        <a:xfrm>
          <a:off x="7143692" y="6560876"/>
          <a:ext cx="182763" cy="225007"/>
          <a:chOff x="6572251" y="7477594"/>
          <a:chExt cx="223837" cy="280178"/>
        </a:xfrm>
      </xdr:grpSpPr>
      <xdr:sp macro="" textlink="">
        <xdr:nvSpPr>
          <xdr:cNvPr id="198" name="Elipse 197">
            <a:extLst>
              <a:ext uri="{FF2B5EF4-FFF2-40B4-BE49-F238E27FC236}">
                <a16:creationId xmlns:a16="http://schemas.microsoft.com/office/drawing/2014/main" id="{5962EC70-1948-ECBF-EA6E-1BF54F5BF70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99" name="CaixaDeTexto 198">
            <a:extLst>
              <a:ext uri="{FF2B5EF4-FFF2-40B4-BE49-F238E27FC236}">
                <a16:creationId xmlns:a16="http://schemas.microsoft.com/office/drawing/2014/main" id="{2B341DA8-B1D2-F596-93F0-FA7DEFBAB2DB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25</xdr:row>
      <xdr:rowOff>208213</xdr:rowOff>
    </xdr:from>
    <xdr:to>
      <xdr:col>7</xdr:col>
      <xdr:colOff>205343</xdr:colOff>
      <xdr:row>26</xdr:row>
      <xdr:rowOff>210861</xdr:rowOff>
    </xdr:to>
    <xdr:grpSp>
      <xdr:nvGrpSpPr>
        <xdr:cNvPr id="200" name="Agrupar 199">
          <a:extLst>
            <a:ext uri="{FF2B5EF4-FFF2-40B4-BE49-F238E27FC236}">
              <a16:creationId xmlns:a16="http://schemas.microsoft.com/office/drawing/2014/main" id="{9DA2741A-6CC7-4BEA-A1E4-00553502D6E7}"/>
            </a:ext>
          </a:extLst>
        </xdr:cNvPr>
        <xdr:cNvGrpSpPr/>
      </xdr:nvGrpSpPr>
      <xdr:grpSpPr>
        <a:xfrm>
          <a:off x="6623627" y="5887771"/>
          <a:ext cx="182763" cy="224160"/>
          <a:chOff x="6572251" y="7468545"/>
          <a:chExt cx="223837" cy="280178"/>
        </a:xfrm>
      </xdr:grpSpPr>
      <xdr:sp macro="" textlink="">
        <xdr:nvSpPr>
          <xdr:cNvPr id="201" name="Elipse 200">
            <a:extLst>
              <a:ext uri="{FF2B5EF4-FFF2-40B4-BE49-F238E27FC236}">
                <a16:creationId xmlns:a16="http://schemas.microsoft.com/office/drawing/2014/main" id="{9C8BBFD7-BCF4-28BF-0E31-5192DF4A6E3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02" name="CaixaDeTexto 201">
            <a:extLst>
              <a:ext uri="{FF2B5EF4-FFF2-40B4-BE49-F238E27FC236}">
                <a16:creationId xmlns:a16="http://schemas.microsoft.com/office/drawing/2014/main" id="{CF2324B7-4230-67AE-5454-B3C19072BC98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25</xdr:row>
      <xdr:rowOff>216783</xdr:rowOff>
    </xdr:from>
    <xdr:to>
      <xdr:col>7</xdr:col>
      <xdr:colOff>725408</xdr:colOff>
      <xdr:row>26</xdr:row>
      <xdr:rowOff>220278</xdr:rowOff>
    </xdr:to>
    <xdr:grpSp>
      <xdr:nvGrpSpPr>
        <xdr:cNvPr id="203" name="Agrupar 202">
          <a:extLst>
            <a:ext uri="{FF2B5EF4-FFF2-40B4-BE49-F238E27FC236}">
              <a16:creationId xmlns:a16="http://schemas.microsoft.com/office/drawing/2014/main" id="{9C31590F-F191-4B7C-BDDC-BCFE1A2DCDB4}"/>
            </a:ext>
          </a:extLst>
        </xdr:cNvPr>
        <xdr:cNvGrpSpPr/>
      </xdr:nvGrpSpPr>
      <xdr:grpSpPr>
        <a:xfrm>
          <a:off x="7143692" y="5896341"/>
          <a:ext cx="182763" cy="225007"/>
          <a:chOff x="6572251" y="7477594"/>
          <a:chExt cx="223837" cy="280178"/>
        </a:xfrm>
      </xdr:grpSpPr>
      <xdr:sp macro="" textlink="">
        <xdr:nvSpPr>
          <xdr:cNvPr id="204" name="Elipse 203">
            <a:extLst>
              <a:ext uri="{FF2B5EF4-FFF2-40B4-BE49-F238E27FC236}">
                <a16:creationId xmlns:a16="http://schemas.microsoft.com/office/drawing/2014/main" id="{F9D4B6D4-DF70-90F9-3D1F-3A4D3151C13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05" name="CaixaDeTexto 204">
            <a:extLst>
              <a:ext uri="{FF2B5EF4-FFF2-40B4-BE49-F238E27FC236}">
                <a16:creationId xmlns:a16="http://schemas.microsoft.com/office/drawing/2014/main" id="{A22291EB-C062-CAE9-FD7D-0B62EF0E962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29</xdr:row>
      <xdr:rowOff>208213</xdr:rowOff>
    </xdr:from>
    <xdr:to>
      <xdr:col>7</xdr:col>
      <xdr:colOff>205343</xdr:colOff>
      <xdr:row>30</xdr:row>
      <xdr:rowOff>210861</xdr:rowOff>
    </xdr:to>
    <xdr:grpSp>
      <xdr:nvGrpSpPr>
        <xdr:cNvPr id="212" name="Agrupar 211">
          <a:extLst>
            <a:ext uri="{FF2B5EF4-FFF2-40B4-BE49-F238E27FC236}">
              <a16:creationId xmlns:a16="http://schemas.microsoft.com/office/drawing/2014/main" id="{1F192E42-BA53-4832-9335-859874779E0A}"/>
            </a:ext>
          </a:extLst>
        </xdr:cNvPr>
        <xdr:cNvGrpSpPr/>
      </xdr:nvGrpSpPr>
      <xdr:grpSpPr>
        <a:xfrm>
          <a:off x="6623627" y="6773818"/>
          <a:ext cx="182763" cy="224159"/>
          <a:chOff x="6572251" y="7468545"/>
          <a:chExt cx="223837" cy="280178"/>
        </a:xfrm>
      </xdr:grpSpPr>
      <xdr:sp macro="" textlink="">
        <xdr:nvSpPr>
          <xdr:cNvPr id="213" name="Elipse 212">
            <a:extLst>
              <a:ext uri="{FF2B5EF4-FFF2-40B4-BE49-F238E27FC236}">
                <a16:creationId xmlns:a16="http://schemas.microsoft.com/office/drawing/2014/main" id="{0148D73E-09EA-E566-6795-CB70F3F2653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14" name="CaixaDeTexto 213">
            <a:extLst>
              <a:ext uri="{FF2B5EF4-FFF2-40B4-BE49-F238E27FC236}">
                <a16:creationId xmlns:a16="http://schemas.microsoft.com/office/drawing/2014/main" id="{51BF5B6A-B714-1625-60A2-7363B237A82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29</xdr:row>
      <xdr:rowOff>216783</xdr:rowOff>
    </xdr:from>
    <xdr:to>
      <xdr:col>7</xdr:col>
      <xdr:colOff>725408</xdr:colOff>
      <xdr:row>30</xdr:row>
      <xdr:rowOff>220278</xdr:rowOff>
    </xdr:to>
    <xdr:grpSp>
      <xdr:nvGrpSpPr>
        <xdr:cNvPr id="215" name="Agrupar 214">
          <a:extLst>
            <a:ext uri="{FF2B5EF4-FFF2-40B4-BE49-F238E27FC236}">
              <a16:creationId xmlns:a16="http://schemas.microsoft.com/office/drawing/2014/main" id="{A57C47E9-BFC3-495E-8902-BE198F7E83B6}"/>
            </a:ext>
          </a:extLst>
        </xdr:cNvPr>
        <xdr:cNvGrpSpPr/>
      </xdr:nvGrpSpPr>
      <xdr:grpSpPr>
        <a:xfrm>
          <a:off x="7143692" y="6782388"/>
          <a:ext cx="182763" cy="225006"/>
          <a:chOff x="6572251" y="7477594"/>
          <a:chExt cx="223837" cy="280178"/>
        </a:xfrm>
      </xdr:grpSpPr>
      <xdr:sp macro="" textlink="">
        <xdr:nvSpPr>
          <xdr:cNvPr id="216" name="Elipse 215">
            <a:extLst>
              <a:ext uri="{FF2B5EF4-FFF2-40B4-BE49-F238E27FC236}">
                <a16:creationId xmlns:a16="http://schemas.microsoft.com/office/drawing/2014/main" id="{928C99F6-3C66-6FF5-06CC-73D1502E34D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17" name="CaixaDeTexto 216">
            <a:extLst>
              <a:ext uri="{FF2B5EF4-FFF2-40B4-BE49-F238E27FC236}">
                <a16:creationId xmlns:a16="http://schemas.microsoft.com/office/drawing/2014/main" id="{23DBCD1F-2FBC-C8F9-08B8-0E6A3D05F77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25455</xdr:colOff>
      <xdr:row>3</xdr:row>
      <xdr:rowOff>364805</xdr:rowOff>
    </xdr:from>
    <xdr:to>
      <xdr:col>7</xdr:col>
      <xdr:colOff>208218</xdr:colOff>
      <xdr:row>4</xdr:row>
      <xdr:rowOff>208338</xdr:rowOff>
    </xdr:to>
    <xdr:grpSp>
      <xdr:nvGrpSpPr>
        <xdr:cNvPr id="218" name="Agrupar 217">
          <a:extLst>
            <a:ext uri="{FF2B5EF4-FFF2-40B4-BE49-F238E27FC236}">
              <a16:creationId xmlns:a16="http://schemas.microsoft.com/office/drawing/2014/main" id="{B169B733-AE47-A5D1-938A-A230CC726EA0}"/>
            </a:ext>
          </a:extLst>
        </xdr:cNvPr>
        <xdr:cNvGrpSpPr/>
      </xdr:nvGrpSpPr>
      <xdr:grpSpPr>
        <a:xfrm>
          <a:off x="6626502" y="1029340"/>
          <a:ext cx="182763" cy="206812"/>
          <a:chOff x="6572251" y="7468545"/>
          <a:chExt cx="223837" cy="280178"/>
        </a:xfrm>
      </xdr:grpSpPr>
      <xdr:sp macro="" textlink="">
        <xdr:nvSpPr>
          <xdr:cNvPr id="219" name="Elipse 218">
            <a:extLst>
              <a:ext uri="{FF2B5EF4-FFF2-40B4-BE49-F238E27FC236}">
                <a16:creationId xmlns:a16="http://schemas.microsoft.com/office/drawing/2014/main" id="{6A8AB411-5885-F619-4266-A94A19E9D94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20" name="CaixaDeTexto 219">
            <a:extLst>
              <a:ext uri="{FF2B5EF4-FFF2-40B4-BE49-F238E27FC236}">
                <a16:creationId xmlns:a16="http://schemas.microsoft.com/office/drawing/2014/main" id="{575528BA-0278-3347-59FE-BC8CF665001C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</xdr:row>
      <xdr:rowOff>363231</xdr:rowOff>
    </xdr:from>
    <xdr:to>
      <xdr:col>7</xdr:col>
      <xdr:colOff>725408</xdr:colOff>
      <xdr:row>4</xdr:row>
      <xdr:rowOff>215231</xdr:rowOff>
    </xdr:to>
    <xdr:grpSp>
      <xdr:nvGrpSpPr>
        <xdr:cNvPr id="221" name="Agrupar 220">
          <a:extLst>
            <a:ext uri="{FF2B5EF4-FFF2-40B4-BE49-F238E27FC236}">
              <a16:creationId xmlns:a16="http://schemas.microsoft.com/office/drawing/2014/main" id="{BEBD7ABA-1509-6F9B-2DED-65D912CD13C8}"/>
            </a:ext>
          </a:extLst>
        </xdr:cNvPr>
        <xdr:cNvGrpSpPr/>
      </xdr:nvGrpSpPr>
      <xdr:grpSpPr>
        <a:xfrm>
          <a:off x="7143692" y="1027766"/>
          <a:ext cx="182763" cy="215279"/>
          <a:chOff x="6572251" y="7477594"/>
          <a:chExt cx="223837" cy="280178"/>
        </a:xfrm>
      </xdr:grpSpPr>
      <xdr:sp macro="" textlink="">
        <xdr:nvSpPr>
          <xdr:cNvPr id="222" name="Elipse 221">
            <a:extLst>
              <a:ext uri="{FF2B5EF4-FFF2-40B4-BE49-F238E27FC236}">
                <a16:creationId xmlns:a16="http://schemas.microsoft.com/office/drawing/2014/main" id="{81F25939-F542-E5AE-B459-C088ED2EDC0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23" name="CaixaDeTexto 222">
            <a:extLst>
              <a:ext uri="{FF2B5EF4-FFF2-40B4-BE49-F238E27FC236}">
                <a16:creationId xmlns:a16="http://schemas.microsoft.com/office/drawing/2014/main" id="{C8D6C798-93AD-C5CD-8852-508EF0301750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</xdr:row>
      <xdr:rowOff>208213</xdr:rowOff>
    </xdr:from>
    <xdr:to>
      <xdr:col>7</xdr:col>
      <xdr:colOff>205343</xdr:colOff>
      <xdr:row>5</xdr:row>
      <xdr:rowOff>210861</xdr:rowOff>
    </xdr:to>
    <xdr:grpSp>
      <xdr:nvGrpSpPr>
        <xdr:cNvPr id="230" name="Agrupar 229">
          <a:extLst>
            <a:ext uri="{FF2B5EF4-FFF2-40B4-BE49-F238E27FC236}">
              <a16:creationId xmlns:a16="http://schemas.microsoft.com/office/drawing/2014/main" id="{1AA149BA-F092-4DCD-A39B-DD5A2EC5D009}"/>
            </a:ext>
          </a:extLst>
        </xdr:cNvPr>
        <xdr:cNvGrpSpPr/>
      </xdr:nvGrpSpPr>
      <xdr:grpSpPr>
        <a:xfrm>
          <a:off x="6623627" y="1236027"/>
          <a:ext cx="182763" cy="224160"/>
          <a:chOff x="6572251" y="7468545"/>
          <a:chExt cx="223837" cy="280178"/>
        </a:xfrm>
      </xdr:grpSpPr>
      <xdr:sp macro="" textlink="">
        <xdr:nvSpPr>
          <xdr:cNvPr id="231" name="Elipse 230">
            <a:extLst>
              <a:ext uri="{FF2B5EF4-FFF2-40B4-BE49-F238E27FC236}">
                <a16:creationId xmlns:a16="http://schemas.microsoft.com/office/drawing/2014/main" id="{C74AD7FF-8B41-E7BB-36CD-EE7B913F53D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32" name="CaixaDeTexto 231">
            <a:extLst>
              <a:ext uri="{FF2B5EF4-FFF2-40B4-BE49-F238E27FC236}">
                <a16:creationId xmlns:a16="http://schemas.microsoft.com/office/drawing/2014/main" id="{A60A0B35-AB30-0EDF-6BB2-2C636BADFAB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</xdr:row>
      <xdr:rowOff>216783</xdr:rowOff>
    </xdr:from>
    <xdr:to>
      <xdr:col>7</xdr:col>
      <xdr:colOff>725408</xdr:colOff>
      <xdr:row>5</xdr:row>
      <xdr:rowOff>220278</xdr:rowOff>
    </xdr:to>
    <xdr:grpSp>
      <xdr:nvGrpSpPr>
        <xdr:cNvPr id="233" name="Agrupar 232">
          <a:extLst>
            <a:ext uri="{FF2B5EF4-FFF2-40B4-BE49-F238E27FC236}">
              <a16:creationId xmlns:a16="http://schemas.microsoft.com/office/drawing/2014/main" id="{FA7FB950-7CC7-4963-B48D-FB7C6E7A48F0}"/>
            </a:ext>
          </a:extLst>
        </xdr:cNvPr>
        <xdr:cNvGrpSpPr/>
      </xdr:nvGrpSpPr>
      <xdr:grpSpPr>
        <a:xfrm>
          <a:off x="7143692" y="1244597"/>
          <a:ext cx="182763" cy="225007"/>
          <a:chOff x="6572251" y="7477594"/>
          <a:chExt cx="223837" cy="280178"/>
        </a:xfrm>
      </xdr:grpSpPr>
      <xdr:sp macro="" textlink="">
        <xdr:nvSpPr>
          <xdr:cNvPr id="234" name="Elipse 233">
            <a:extLst>
              <a:ext uri="{FF2B5EF4-FFF2-40B4-BE49-F238E27FC236}">
                <a16:creationId xmlns:a16="http://schemas.microsoft.com/office/drawing/2014/main" id="{53CF7C3E-1205-D47E-3934-FF78767E34B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35" name="CaixaDeTexto 234">
            <a:extLst>
              <a:ext uri="{FF2B5EF4-FFF2-40B4-BE49-F238E27FC236}">
                <a16:creationId xmlns:a16="http://schemas.microsoft.com/office/drawing/2014/main" id="{0D0D3629-9026-BC1B-775F-1F7D2FC7D5F8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9</xdr:row>
      <xdr:rowOff>208213</xdr:rowOff>
    </xdr:from>
    <xdr:to>
      <xdr:col>7</xdr:col>
      <xdr:colOff>205343</xdr:colOff>
      <xdr:row>10</xdr:row>
      <xdr:rowOff>210861</xdr:rowOff>
    </xdr:to>
    <xdr:grpSp>
      <xdr:nvGrpSpPr>
        <xdr:cNvPr id="242" name="Agrupar 241">
          <a:extLst>
            <a:ext uri="{FF2B5EF4-FFF2-40B4-BE49-F238E27FC236}">
              <a16:creationId xmlns:a16="http://schemas.microsoft.com/office/drawing/2014/main" id="{E2E2CB34-261A-43A9-BC21-58F4D3FEA1AF}"/>
            </a:ext>
          </a:extLst>
        </xdr:cNvPr>
        <xdr:cNvGrpSpPr/>
      </xdr:nvGrpSpPr>
      <xdr:grpSpPr>
        <a:xfrm>
          <a:off x="6623627" y="2343585"/>
          <a:ext cx="182763" cy="224160"/>
          <a:chOff x="6572251" y="7468545"/>
          <a:chExt cx="223837" cy="280178"/>
        </a:xfrm>
      </xdr:grpSpPr>
      <xdr:sp macro="" textlink="">
        <xdr:nvSpPr>
          <xdr:cNvPr id="243" name="Elipse 242">
            <a:extLst>
              <a:ext uri="{FF2B5EF4-FFF2-40B4-BE49-F238E27FC236}">
                <a16:creationId xmlns:a16="http://schemas.microsoft.com/office/drawing/2014/main" id="{4378B4BC-BB2D-6C09-1024-3A1B72114E1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5351B909-A474-1FB8-DE76-5DCF53FED99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9</xdr:row>
      <xdr:rowOff>216783</xdr:rowOff>
    </xdr:from>
    <xdr:to>
      <xdr:col>7</xdr:col>
      <xdr:colOff>725408</xdr:colOff>
      <xdr:row>10</xdr:row>
      <xdr:rowOff>220278</xdr:rowOff>
    </xdr:to>
    <xdr:grpSp>
      <xdr:nvGrpSpPr>
        <xdr:cNvPr id="245" name="Agrupar 244">
          <a:extLst>
            <a:ext uri="{FF2B5EF4-FFF2-40B4-BE49-F238E27FC236}">
              <a16:creationId xmlns:a16="http://schemas.microsoft.com/office/drawing/2014/main" id="{C89E44B0-F91C-40FB-A73D-46E41C6E7B06}"/>
            </a:ext>
          </a:extLst>
        </xdr:cNvPr>
        <xdr:cNvGrpSpPr/>
      </xdr:nvGrpSpPr>
      <xdr:grpSpPr>
        <a:xfrm>
          <a:off x="7143692" y="2352155"/>
          <a:ext cx="182763" cy="225007"/>
          <a:chOff x="6572251" y="7477594"/>
          <a:chExt cx="223837" cy="280178"/>
        </a:xfrm>
      </xdr:grpSpPr>
      <xdr:sp macro="" textlink="">
        <xdr:nvSpPr>
          <xdr:cNvPr id="246" name="Elipse 245">
            <a:extLst>
              <a:ext uri="{FF2B5EF4-FFF2-40B4-BE49-F238E27FC236}">
                <a16:creationId xmlns:a16="http://schemas.microsoft.com/office/drawing/2014/main" id="{0744F3E2-F252-1260-6508-A2BD357C074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C71BE7E0-82A8-F16A-21C4-DFE0C9E1D6B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15</xdr:row>
      <xdr:rowOff>208213</xdr:rowOff>
    </xdr:from>
    <xdr:to>
      <xdr:col>7</xdr:col>
      <xdr:colOff>205343</xdr:colOff>
      <xdr:row>16</xdr:row>
      <xdr:rowOff>210861</xdr:rowOff>
    </xdr:to>
    <xdr:grpSp>
      <xdr:nvGrpSpPr>
        <xdr:cNvPr id="248" name="Agrupar 247">
          <a:extLst>
            <a:ext uri="{FF2B5EF4-FFF2-40B4-BE49-F238E27FC236}">
              <a16:creationId xmlns:a16="http://schemas.microsoft.com/office/drawing/2014/main" id="{C288353A-9CAB-4514-B07F-EF001B6FCA3F}"/>
            </a:ext>
          </a:extLst>
        </xdr:cNvPr>
        <xdr:cNvGrpSpPr/>
      </xdr:nvGrpSpPr>
      <xdr:grpSpPr>
        <a:xfrm>
          <a:off x="6623627" y="3672655"/>
          <a:ext cx="182763" cy="224159"/>
          <a:chOff x="6572251" y="7468545"/>
          <a:chExt cx="223837" cy="280178"/>
        </a:xfrm>
      </xdr:grpSpPr>
      <xdr:sp macro="" textlink="">
        <xdr:nvSpPr>
          <xdr:cNvPr id="249" name="Elipse 248">
            <a:extLst>
              <a:ext uri="{FF2B5EF4-FFF2-40B4-BE49-F238E27FC236}">
                <a16:creationId xmlns:a16="http://schemas.microsoft.com/office/drawing/2014/main" id="{BC30F774-B419-654E-1A14-4A076773647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50" name="CaixaDeTexto 249">
            <a:extLst>
              <a:ext uri="{FF2B5EF4-FFF2-40B4-BE49-F238E27FC236}">
                <a16:creationId xmlns:a16="http://schemas.microsoft.com/office/drawing/2014/main" id="{3401E976-7C5A-96A7-ABEA-E55329DED86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15</xdr:row>
      <xdr:rowOff>216783</xdr:rowOff>
    </xdr:from>
    <xdr:to>
      <xdr:col>7</xdr:col>
      <xdr:colOff>725408</xdr:colOff>
      <xdr:row>16</xdr:row>
      <xdr:rowOff>220278</xdr:rowOff>
    </xdr:to>
    <xdr:grpSp>
      <xdr:nvGrpSpPr>
        <xdr:cNvPr id="251" name="Agrupar 250">
          <a:extLst>
            <a:ext uri="{FF2B5EF4-FFF2-40B4-BE49-F238E27FC236}">
              <a16:creationId xmlns:a16="http://schemas.microsoft.com/office/drawing/2014/main" id="{D2FB7CB5-EECA-4B91-8A50-749BF362898D}"/>
            </a:ext>
          </a:extLst>
        </xdr:cNvPr>
        <xdr:cNvGrpSpPr/>
      </xdr:nvGrpSpPr>
      <xdr:grpSpPr>
        <a:xfrm>
          <a:off x="7143692" y="3681225"/>
          <a:ext cx="182763" cy="225006"/>
          <a:chOff x="6572251" y="7477594"/>
          <a:chExt cx="223837" cy="280178"/>
        </a:xfrm>
      </xdr:grpSpPr>
      <xdr:sp macro="" textlink="">
        <xdr:nvSpPr>
          <xdr:cNvPr id="252" name="Elipse 251">
            <a:extLst>
              <a:ext uri="{FF2B5EF4-FFF2-40B4-BE49-F238E27FC236}">
                <a16:creationId xmlns:a16="http://schemas.microsoft.com/office/drawing/2014/main" id="{056F4FCB-2425-23A7-D952-98A36B7A23B4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53" name="CaixaDeTexto 252">
            <a:extLst>
              <a:ext uri="{FF2B5EF4-FFF2-40B4-BE49-F238E27FC236}">
                <a16:creationId xmlns:a16="http://schemas.microsoft.com/office/drawing/2014/main" id="{82F4F172-0134-71E4-5801-72EFE448D28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24</xdr:row>
      <xdr:rowOff>208213</xdr:rowOff>
    </xdr:from>
    <xdr:to>
      <xdr:col>7</xdr:col>
      <xdr:colOff>205343</xdr:colOff>
      <xdr:row>25</xdr:row>
      <xdr:rowOff>210861</xdr:rowOff>
    </xdr:to>
    <xdr:grpSp>
      <xdr:nvGrpSpPr>
        <xdr:cNvPr id="266" name="Agrupar 265">
          <a:extLst>
            <a:ext uri="{FF2B5EF4-FFF2-40B4-BE49-F238E27FC236}">
              <a16:creationId xmlns:a16="http://schemas.microsoft.com/office/drawing/2014/main" id="{831F038C-F420-463F-83DA-6EBBB4B7884A}"/>
            </a:ext>
          </a:extLst>
        </xdr:cNvPr>
        <xdr:cNvGrpSpPr/>
      </xdr:nvGrpSpPr>
      <xdr:grpSpPr>
        <a:xfrm>
          <a:off x="6623627" y="5666260"/>
          <a:ext cx="182763" cy="224159"/>
          <a:chOff x="6572251" y="7468545"/>
          <a:chExt cx="223837" cy="280178"/>
        </a:xfrm>
      </xdr:grpSpPr>
      <xdr:sp macro="" textlink="">
        <xdr:nvSpPr>
          <xdr:cNvPr id="267" name="Elipse 266">
            <a:extLst>
              <a:ext uri="{FF2B5EF4-FFF2-40B4-BE49-F238E27FC236}">
                <a16:creationId xmlns:a16="http://schemas.microsoft.com/office/drawing/2014/main" id="{035D1A87-C6DD-58FA-A4A7-20A7662FFBD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68" name="CaixaDeTexto 267">
            <a:extLst>
              <a:ext uri="{FF2B5EF4-FFF2-40B4-BE49-F238E27FC236}">
                <a16:creationId xmlns:a16="http://schemas.microsoft.com/office/drawing/2014/main" id="{0C304879-AEE0-580F-B41D-910FD32B98E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24</xdr:row>
      <xdr:rowOff>216783</xdr:rowOff>
    </xdr:from>
    <xdr:to>
      <xdr:col>7</xdr:col>
      <xdr:colOff>725408</xdr:colOff>
      <xdr:row>25</xdr:row>
      <xdr:rowOff>220278</xdr:rowOff>
    </xdr:to>
    <xdr:grpSp>
      <xdr:nvGrpSpPr>
        <xdr:cNvPr id="269" name="Agrupar 268">
          <a:extLst>
            <a:ext uri="{FF2B5EF4-FFF2-40B4-BE49-F238E27FC236}">
              <a16:creationId xmlns:a16="http://schemas.microsoft.com/office/drawing/2014/main" id="{169B087D-A864-4C29-A05E-4785117167CC}"/>
            </a:ext>
          </a:extLst>
        </xdr:cNvPr>
        <xdr:cNvGrpSpPr/>
      </xdr:nvGrpSpPr>
      <xdr:grpSpPr>
        <a:xfrm>
          <a:off x="7143692" y="5674830"/>
          <a:ext cx="182763" cy="225006"/>
          <a:chOff x="6572251" y="7477594"/>
          <a:chExt cx="223837" cy="280178"/>
        </a:xfrm>
      </xdr:grpSpPr>
      <xdr:sp macro="" textlink="">
        <xdr:nvSpPr>
          <xdr:cNvPr id="270" name="Elipse 269">
            <a:extLst>
              <a:ext uri="{FF2B5EF4-FFF2-40B4-BE49-F238E27FC236}">
                <a16:creationId xmlns:a16="http://schemas.microsoft.com/office/drawing/2014/main" id="{EBCB34DA-E75D-3CB1-5BE3-4A4BAC17334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71" name="CaixaDeTexto 270">
            <a:extLst>
              <a:ext uri="{FF2B5EF4-FFF2-40B4-BE49-F238E27FC236}">
                <a16:creationId xmlns:a16="http://schemas.microsoft.com/office/drawing/2014/main" id="{94DD6557-9ACC-EF84-18EA-88ED90EAAC6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14</xdr:row>
      <xdr:rowOff>208213</xdr:rowOff>
    </xdr:from>
    <xdr:to>
      <xdr:col>7</xdr:col>
      <xdr:colOff>205343</xdr:colOff>
      <xdr:row>15</xdr:row>
      <xdr:rowOff>210861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FF487EC-E33B-487F-9F40-8403680F7D3C}"/>
            </a:ext>
          </a:extLst>
        </xdr:cNvPr>
        <xdr:cNvGrpSpPr/>
      </xdr:nvGrpSpPr>
      <xdr:grpSpPr>
        <a:xfrm>
          <a:off x="6623627" y="3451143"/>
          <a:ext cx="182763" cy="224160"/>
          <a:chOff x="6572251" y="7468545"/>
          <a:chExt cx="223837" cy="280178"/>
        </a:xfrm>
      </xdr:grpSpPr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2B19372C-3150-6224-530A-C9C162AACF6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148EF88D-F3E8-3D74-4DC2-0566079BC90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14</xdr:row>
      <xdr:rowOff>216783</xdr:rowOff>
    </xdr:from>
    <xdr:to>
      <xdr:col>7</xdr:col>
      <xdr:colOff>725408</xdr:colOff>
      <xdr:row>15</xdr:row>
      <xdr:rowOff>220278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1E1885F-CC54-47C5-BA2E-DBBF8A033289}"/>
            </a:ext>
          </a:extLst>
        </xdr:cNvPr>
        <xdr:cNvGrpSpPr/>
      </xdr:nvGrpSpPr>
      <xdr:grpSpPr>
        <a:xfrm>
          <a:off x="7143692" y="3459713"/>
          <a:ext cx="182763" cy="225007"/>
          <a:chOff x="6572251" y="7477594"/>
          <a:chExt cx="223837" cy="280178"/>
        </a:xfrm>
      </xdr:grpSpPr>
      <xdr:sp macro="" textlink="">
        <xdr:nvSpPr>
          <xdr:cNvPr id="12" name="Elipse 11">
            <a:extLst>
              <a:ext uri="{FF2B5EF4-FFF2-40B4-BE49-F238E27FC236}">
                <a16:creationId xmlns:a16="http://schemas.microsoft.com/office/drawing/2014/main" id="{7FB875FF-3700-4BC6-147E-2C7953342E9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50AD7596-3688-790D-EAE5-F3FE4418B048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19</xdr:row>
      <xdr:rowOff>208213</xdr:rowOff>
    </xdr:from>
    <xdr:to>
      <xdr:col>7</xdr:col>
      <xdr:colOff>205343</xdr:colOff>
      <xdr:row>20</xdr:row>
      <xdr:rowOff>210861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B545A57-A293-407C-BC58-E6247ABD57B5}"/>
            </a:ext>
          </a:extLst>
        </xdr:cNvPr>
        <xdr:cNvGrpSpPr/>
      </xdr:nvGrpSpPr>
      <xdr:grpSpPr>
        <a:xfrm>
          <a:off x="6623627" y="4558701"/>
          <a:ext cx="182763" cy="224160"/>
          <a:chOff x="6572251" y="7468545"/>
          <a:chExt cx="223837" cy="280178"/>
        </a:xfrm>
      </xdr:grpSpPr>
      <xdr:sp macro="" textlink="">
        <xdr:nvSpPr>
          <xdr:cNvPr id="21" name="Elipse 20">
            <a:extLst>
              <a:ext uri="{FF2B5EF4-FFF2-40B4-BE49-F238E27FC236}">
                <a16:creationId xmlns:a16="http://schemas.microsoft.com/office/drawing/2014/main" id="{98E88EEA-A685-8F90-AA6E-F53F9E0323C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663BED25-19C8-3A73-6BB5-879E7E6F997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19</xdr:row>
      <xdr:rowOff>216783</xdr:rowOff>
    </xdr:from>
    <xdr:to>
      <xdr:col>7</xdr:col>
      <xdr:colOff>725408</xdr:colOff>
      <xdr:row>20</xdr:row>
      <xdr:rowOff>220278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0393225-96BA-4059-97B6-43F1F2426C98}"/>
            </a:ext>
          </a:extLst>
        </xdr:cNvPr>
        <xdr:cNvGrpSpPr/>
      </xdr:nvGrpSpPr>
      <xdr:grpSpPr>
        <a:xfrm>
          <a:off x="7143692" y="4567271"/>
          <a:ext cx="182763" cy="225007"/>
          <a:chOff x="6572251" y="7477594"/>
          <a:chExt cx="223837" cy="280178"/>
        </a:xfrm>
      </xdr:grpSpPr>
      <xdr:sp macro="" textlink="">
        <xdr:nvSpPr>
          <xdr:cNvPr id="24" name="Elipse 23">
            <a:extLst>
              <a:ext uri="{FF2B5EF4-FFF2-40B4-BE49-F238E27FC236}">
                <a16:creationId xmlns:a16="http://schemas.microsoft.com/office/drawing/2014/main" id="{57A26D4A-BFCD-3D7F-DB5A-9842C6A7554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822087ED-396C-83AF-F527-FF7B6BADD21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30</xdr:row>
      <xdr:rowOff>208213</xdr:rowOff>
    </xdr:from>
    <xdr:to>
      <xdr:col>7</xdr:col>
      <xdr:colOff>205343</xdr:colOff>
      <xdr:row>31</xdr:row>
      <xdr:rowOff>210861</xdr:rowOff>
    </xdr:to>
    <xdr:grpSp>
      <xdr:nvGrpSpPr>
        <xdr:cNvPr id="208" name="Agrupar 207">
          <a:extLst>
            <a:ext uri="{FF2B5EF4-FFF2-40B4-BE49-F238E27FC236}">
              <a16:creationId xmlns:a16="http://schemas.microsoft.com/office/drawing/2014/main" id="{86636FF0-B5C8-4428-BC67-01119D55641B}"/>
            </a:ext>
          </a:extLst>
        </xdr:cNvPr>
        <xdr:cNvGrpSpPr/>
      </xdr:nvGrpSpPr>
      <xdr:grpSpPr>
        <a:xfrm>
          <a:off x="6623627" y="6995329"/>
          <a:ext cx="182763" cy="224160"/>
          <a:chOff x="6572251" y="7468545"/>
          <a:chExt cx="223837" cy="280178"/>
        </a:xfrm>
      </xdr:grpSpPr>
      <xdr:sp macro="" textlink="">
        <xdr:nvSpPr>
          <xdr:cNvPr id="209" name="Elipse 208">
            <a:extLst>
              <a:ext uri="{FF2B5EF4-FFF2-40B4-BE49-F238E27FC236}">
                <a16:creationId xmlns:a16="http://schemas.microsoft.com/office/drawing/2014/main" id="{06EBFF96-412D-710F-F936-5479A9BDB53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10" name="CaixaDeTexto 209">
            <a:extLst>
              <a:ext uri="{FF2B5EF4-FFF2-40B4-BE49-F238E27FC236}">
                <a16:creationId xmlns:a16="http://schemas.microsoft.com/office/drawing/2014/main" id="{57C18F95-C0C7-7678-8582-547E3503B45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30</xdr:row>
      <xdr:rowOff>216783</xdr:rowOff>
    </xdr:from>
    <xdr:to>
      <xdr:col>7</xdr:col>
      <xdr:colOff>725408</xdr:colOff>
      <xdr:row>31</xdr:row>
      <xdr:rowOff>220278</xdr:rowOff>
    </xdr:to>
    <xdr:grpSp>
      <xdr:nvGrpSpPr>
        <xdr:cNvPr id="211" name="Agrupar 210">
          <a:extLst>
            <a:ext uri="{FF2B5EF4-FFF2-40B4-BE49-F238E27FC236}">
              <a16:creationId xmlns:a16="http://schemas.microsoft.com/office/drawing/2014/main" id="{410E1702-0D6E-49D1-B37F-A7773302FBEC}"/>
            </a:ext>
          </a:extLst>
        </xdr:cNvPr>
        <xdr:cNvGrpSpPr/>
      </xdr:nvGrpSpPr>
      <xdr:grpSpPr>
        <a:xfrm>
          <a:off x="7143692" y="7003899"/>
          <a:ext cx="182763" cy="225007"/>
          <a:chOff x="6572251" y="7477594"/>
          <a:chExt cx="223837" cy="280178"/>
        </a:xfrm>
      </xdr:grpSpPr>
      <xdr:sp macro="" textlink="">
        <xdr:nvSpPr>
          <xdr:cNvPr id="272" name="Elipse 271">
            <a:extLst>
              <a:ext uri="{FF2B5EF4-FFF2-40B4-BE49-F238E27FC236}">
                <a16:creationId xmlns:a16="http://schemas.microsoft.com/office/drawing/2014/main" id="{6ED3CA17-88E3-88D3-23E6-EA7FA00601F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73" name="CaixaDeTexto 272">
            <a:extLst>
              <a:ext uri="{FF2B5EF4-FFF2-40B4-BE49-F238E27FC236}">
                <a16:creationId xmlns:a16="http://schemas.microsoft.com/office/drawing/2014/main" id="{72B072D7-39A9-EFFD-D869-13889C1D8AA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31</xdr:row>
      <xdr:rowOff>208213</xdr:rowOff>
    </xdr:from>
    <xdr:to>
      <xdr:col>7</xdr:col>
      <xdr:colOff>205343</xdr:colOff>
      <xdr:row>32</xdr:row>
      <xdr:rowOff>210861</xdr:rowOff>
    </xdr:to>
    <xdr:grpSp>
      <xdr:nvGrpSpPr>
        <xdr:cNvPr id="274" name="Agrupar 273">
          <a:extLst>
            <a:ext uri="{FF2B5EF4-FFF2-40B4-BE49-F238E27FC236}">
              <a16:creationId xmlns:a16="http://schemas.microsoft.com/office/drawing/2014/main" id="{48E6A30C-AF81-4171-968F-706CA54DE7C5}"/>
            </a:ext>
          </a:extLst>
        </xdr:cNvPr>
        <xdr:cNvGrpSpPr/>
      </xdr:nvGrpSpPr>
      <xdr:grpSpPr>
        <a:xfrm>
          <a:off x="6623627" y="7216841"/>
          <a:ext cx="182763" cy="224160"/>
          <a:chOff x="6572251" y="7468545"/>
          <a:chExt cx="223837" cy="280178"/>
        </a:xfrm>
      </xdr:grpSpPr>
      <xdr:sp macro="" textlink="">
        <xdr:nvSpPr>
          <xdr:cNvPr id="275" name="Elipse 274">
            <a:extLst>
              <a:ext uri="{FF2B5EF4-FFF2-40B4-BE49-F238E27FC236}">
                <a16:creationId xmlns:a16="http://schemas.microsoft.com/office/drawing/2014/main" id="{A03832AE-0E2A-9223-2979-9A77E3B2E43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76" name="CaixaDeTexto 275">
            <a:extLst>
              <a:ext uri="{FF2B5EF4-FFF2-40B4-BE49-F238E27FC236}">
                <a16:creationId xmlns:a16="http://schemas.microsoft.com/office/drawing/2014/main" id="{C7B448A9-3D02-4D24-A964-7B27B19E821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31</xdr:row>
      <xdr:rowOff>216783</xdr:rowOff>
    </xdr:from>
    <xdr:to>
      <xdr:col>7</xdr:col>
      <xdr:colOff>725408</xdr:colOff>
      <xdr:row>32</xdr:row>
      <xdr:rowOff>220278</xdr:rowOff>
    </xdr:to>
    <xdr:grpSp>
      <xdr:nvGrpSpPr>
        <xdr:cNvPr id="277" name="Agrupar 276">
          <a:extLst>
            <a:ext uri="{FF2B5EF4-FFF2-40B4-BE49-F238E27FC236}">
              <a16:creationId xmlns:a16="http://schemas.microsoft.com/office/drawing/2014/main" id="{0B3D9231-5E3D-40E7-BD3C-2FC3E77BFF52}"/>
            </a:ext>
          </a:extLst>
        </xdr:cNvPr>
        <xdr:cNvGrpSpPr/>
      </xdr:nvGrpSpPr>
      <xdr:grpSpPr>
        <a:xfrm>
          <a:off x="7143692" y="7225411"/>
          <a:ext cx="182763" cy="225007"/>
          <a:chOff x="6572251" y="7477594"/>
          <a:chExt cx="223837" cy="280178"/>
        </a:xfrm>
      </xdr:grpSpPr>
      <xdr:sp macro="" textlink="">
        <xdr:nvSpPr>
          <xdr:cNvPr id="278" name="Elipse 277">
            <a:extLst>
              <a:ext uri="{FF2B5EF4-FFF2-40B4-BE49-F238E27FC236}">
                <a16:creationId xmlns:a16="http://schemas.microsoft.com/office/drawing/2014/main" id="{85CFB279-2037-9CE5-2D65-F996F2B6053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79" name="CaixaDeTexto 278">
            <a:extLst>
              <a:ext uri="{FF2B5EF4-FFF2-40B4-BE49-F238E27FC236}">
                <a16:creationId xmlns:a16="http://schemas.microsoft.com/office/drawing/2014/main" id="{0A483A67-562F-D457-3AE2-C84C06C967E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34</xdr:row>
      <xdr:rowOff>208213</xdr:rowOff>
    </xdr:from>
    <xdr:to>
      <xdr:col>7</xdr:col>
      <xdr:colOff>205343</xdr:colOff>
      <xdr:row>35</xdr:row>
      <xdr:rowOff>210861</xdr:rowOff>
    </xdr:to>
    <xdr:grpSp>
      <xdr:nvGrpSpPr>
        <xdr:cNvPr id="280" name="Agrupar 279">
          <a:extLst>
            <a:ext uri="{FF2B5EF4-FFF2-40B4-BE49-F238E27FC236}">
              <a16:creationId xmlns:a16="http://schemas.microsoft.com/office/drawing/2014/main" id="{6A16988E-7908-4A60-925F-4B691BE53C97}"/>
            </a:ext>
          </a:extLst>
        </xdr:cNvPr>
        <xdr:cNvGrpSpPr/>
      </xdr:nvGrpSpPr>
      <xdr:grpSpPr>
        <a:xfrm>
          <a:off x="6623627" y="7881376"/>
          <a:ext cx="182763" cy="224159"/>
          <a:chOff x="6572251" y="7468545"/>
          <a:chExt cx="223837" cy="280178"/>
        </a:xfrm>
      </xdr:grpSpPr>
      <xdr:sp macro="" textlink="">
        <xdr:nvSpPr>
          <xdr:cNvPr id="281" name="Elipse 280">
            <a:extLst>
              <a:ext uri="{FF2B5EF4-FFF2-40B4-BE49-F238E27FC236}">
                <a16:creationId xmlns:a16="http://schemas.microsoft.com/office/drawing/2014/main" id="{A5BC28C9-1AC8-2887-7E35-F9AD988E2C3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82" name="CaixaDeTexto 281">
            <a:extLst>
              <a:ext uri="{FF2B5EF4-FFF2-40B4-BE49-F238E27FC236}">
                <a16:creationId xmlns:a16="http://schemas.microsoft.com/office/drawing/2014/main" id="{5E8EE863-C0EA-FD04-8B60-C95BCD1FDD1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34</xdr:row>
      <xdr:rowOff>216783</xdr:rowOff>
    </xdr:from>
    <xdr:to>
      <xdr:col>7</xdr:col>
      <xdr:colOff>725408</xdr:colOff>
      <xdr:row>35</xdr:row>
      <xdr:rowOff>220278</xdr:rowOff>
    </xdr:to>
    <xdr:grpSp>
      <xdr:nvGrpSpPr>
        <xdr:cNvPr id="283" name="Agrupar 282">
          <a:extLst>
            <a:ext uri="{FF2B5EF4-FFF2-40B4-BE49-F238E27FC236}">
              <a16:creationId xmlns:a16="http://schemas.microsoft.com/office/drawing/2014/main" id="{D48D6725-3B92-491E-9583-69F0C730C129}"/>
            </a:ext>
          </a:extLst>
        </xdr:cNvPr>
        <xdr:cNvGrpSpPr/>
      </xdr:nvGrpSpPr>
      <xdr:grpSpPr>
        <a:xfrm>
          <a:off x="7143692" y="7889946"/>
          <a:ext cx="182763" cy="225006"/>
          <a:chOff x="6572251" y="7477594"/>
          <a:chExt cx="223837" cy="280178"/>
        </a:xfrm>
      </xdr:grpSpPr>
      <xdr:sp macro="" textlink="">
        <xdr:nvSpPr>
          <xdr:cNvPr id="284" name="Elipse 283">
            <a:extLst>
              <a:ext uri="{FF2B5EF4-FFF2-40B4-BE49-F238E27FC236}">
                <a16:creationId xmlns:a16="http://schemas.microsoft.com/office/drawing/2014/main" id="{93356036-BB70-AC23-7982-D2E651352B5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85" name="CaixaDeTexto 284">
            <a:extLst>
              <a:ext uri="{FF2B5EF4-FFF2-40B4-BE49-F238E27FC236}">
                <a16:creationId xmlns:a16="http://schemas.microsoft.com/office/drawing/2014/main" id="{088597F5-39BA-7233-E042-775736D947F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35</xdr:row>
      <xdr:rowOff>208213</xdr:rowOff>
    </xdr:from>
    <xdr:to>
      <xdr:col>7</xdr:col>
      <xdr:colOff>205343</xdr:colOff>
      <xdr:row>36</xdr:row>
      <xdr:rowOff>210861</xdr:rowOff>
    </xdr:to>
    <xdr:grpSp>
      <xdr:nvGrpSpPr>
        <xdr:cNvPr id="286" name="Agrupar 285">
          <a:extLst>
            <a:ext uri="{FF2B5EF4-FFF2-40B4-BE49-F238E27FC236}">
              <a16:creationId xmlns:a16="http://schemas.microsoft.com/office/drawing/2014/main" id="{B89F4A3D-65C6-4AA8-AFE7-B1334BE2094A}"/>
            </a:ext>
          </a:extLst>
        </xdr:cNvPr>
        <xdr:cNvGrpSpPr/>
      </xdr:nvGrpSpPr>
      <xdr:grpSpPr>
        <a:xfrm>
          <a:off x="6623627" y="8102887"/>
          <a:ext cx="182763" cy="224160"/>
          <a:chOff x="6572251" y="7468545"/>
          <a:chExt cx="223837" cy="280178"/>
        </a:xfrm>
      </xdr:grpSpPr>
      <xdr:sp macro="" textlink="">
        <xdr:nvSpPr>
          <xdr:cNvPr id="287" name="Elipse 286">
            <a:extLst>
              <a:ext uri="{FF2B5EF4-FFF2-40B4-BE49-F238E27FC236}">
                <a16:creationId xmlns:a16="http://schemas.microsoft.com/office/drawing/2014/main" id="{41198213-5A84-4770-A571-75BDA1A4BF2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88" name="CaixaDeTexto 287">
            <a:extLst>
              <a:ext uri="{FF2B5EF4-FFF2-40B4-BE49-F238E27FC236}">
                <a16:creationId xmlns:a16="http://schemas.microsoft.com/office/drawing/2014/main" id="{42DD0FD9-0879-8002-5A64-9469CEC7424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35</xdr:row>
      <xdr:rowOff>216783</xdr:rowOff>
    </xdr:from>
    <xdr:to>
      <xdr:col>7</xdr:col>
      <xdr:colOff>725408</xdr:colOff>
      <xdr:row>36</xdr:row>
      <xdr:rowOff>220278</xdr:rowOff>
    </xdr:to>
    <xdr:grpSp>
      <xdr:nvGrpSpPr>
        <xdr:cNvPr id="289" name="Agrupar 288">
          <a:extLst>
            <a:ext uri="{FF2B5EF4-FFF2-40B4-BE49-F238E27FC236}">
              <a16:creationId xmlns:a16="http://schemas.microsoft.com/office/drawing/2014/main" id="{BA8E559D-0511-4287-B0A3-0849718313A2}"/>
            </a:ext>
          </a:extLst>
        </xdr:cNvPr>
        <xdr:cNvGrpSpPr/>
      </xdr:nvGrpSpPr>
      <xdr:grpSpPr>
        <a:xfrm>
          <a:off x="7143692" y="8111457"/>
          <a:ext cx="182763" cy="225007"/>
          <a:chOff x="6572251" y="7477594"/>
          <a:chExt cx="223837" cy="280178"/>
        </a:xfrm>
      </xdr:grpSpPr>
      <xdr:sp macro="" textlink="">
        <xdr:nvSpPr>
          <xdr:cNvPr id="290" name="Elipse 289">
            <a:extLst>
              <a:ext uri="{FF2B5EF4-FFF2-40B4-BE49-F238E27FC236}">
                <a16:creationId xmlns:a16="http://schemas.microsoft.com/office/drawing/2014/main" id="{411E45B4-5656-BB66-A1B7-C464CA6F2D9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91" name="CaixaDeTexto 290">
            <a:extLst>
              <a:ext uri="{FF2B5EF4-FFF2-40B4-BE49-F238E27FC236}">
                <a16:creationId xmlns:a16="http://schemas.microsoft.com/office/drawing/2014/main" id="{2E5AC456-E0BF-3EDC-C3D5-679FDCFE523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36</xdr:row>
      <xdr:rowOff>208213</xdr:rowOff>
    </xdr:from>
    <xdr:to>
      <xdr:col>7</xdr:col>
      <xdr:colOff>205343</xdr:colOff>
      <xdr:row>37</xdr:row>
      <xdr:rowOff>210861</xdr:rowOff>
    </xdr:to>
    <xdr:grpSp>
      <xdr:nvGrpSpPr>
        <xdr:cNvPr id="292" name="Agrupar 291">
          <a:extLst>
            <a:ext uri="{FF2B5EF4-FFF2-40B4-BE49-F238E27FC236}">
              <a16:creationId xmlns:a16="http://schemas.microsoft.com/office/drawing/2014/main" id="{A8822E3C-F49D-4EAE-8D93-ADE91C36C3CA}"/>
            </a:ext>
          </a:extLst>
        </xdr:cNvPr>
        <xdr:cNvGrpSpPr/>
      </xdr:nvGrpSpPr>
      <xdr:grpSpPr>
        <a:xfrm>
          <a:off x="6623627" y="8324399"/>
          <a:ext cx="182763" cy="224160"/>
          <a:chOff x="6572251" y="7468545"/>
          <a:chExt cx="223837" cy="280178"/>
        </a:xfrm>
      </xdr:grpSpPr>
      <xdr:sp macro="" textlink="">
        <xdr:nvSpPr>
          <xdr:cNvPr id="293" name="Elipse 292">
            <a:extLst>
              <a:ext uri="{FF2B5EF4-FFF2-40B4-BE49-F238E27FC236}">
                <a16:creationId xmlns:a16="http://schemas.microsoft.com/office/drawing/2014/main" id="{597FED61-076A-AFD5-FD94-6719FDD8DFF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94" name="CaixaDeTexto 293">
            <a:extLst>
              <a:ext uri="{FF2B5EF4-FFF2-40B4-BE49-F238E27FC236}">
                <a16:creationId xmlns:a16="http://schemas.microsoft.com/office/drawing/2014/main" id="{766E44C7-9F73-7661-AB9E-22EF2E14F82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36</xdr:row>
      <xdr:rowOff>216783</xdr:rowOff>
    </xdr:from>
    <xdr:to>
      <xdr:col>7</xdr:col>
      <xdr:colOff>725408</xdr:colOff>
      <xdr:row>37</xdr:row>
      <xdr:rowOff>220278</xdr:rowOff>
    </xdr:to>
    <xdr:grpSp>
      <xdr:nvGrpSpPr>
        <xdr:cNvPr id="295" name="Agrupar 294">
          <a:extLst>
            <a:ext uri="{FF2B5EF4-FFF2-40B4-BE49-F238E27FC236}">
              <a16:creationId xmlns:a16="http://schemas.microsoft.com/office/drawing/2014/main" id="{604CDB05-5674-4749-9D61-85AAD25B2C36}"/>
            </a:ext>
          </a:extLst>
        </xdr:cNvPr>
        <xdr:cNvGrpSpPr/>
      </xdr:nvGrpSpPr>
      <xdr:grpSpPr>
        <a:xfrm>
          <a:off x="7143692" y="8332969"/>
          <a:ext cx="182763" cy="225007"/>
          <a:chOff x="6572251" y="7477594"/>
          <a:chExt cx="223837" cy="280178"/>
        </a:xfrm>
      </xdr:grpSpPr>
      <xdr:sp macro="" textlink="">
        <xdr:nvSpPr>
          <xdr:cNvPr id="296" name="Elipse 295">
            <a:extLst>
              <a:ext uri="{FF2B5EF4-FFF2-40B4-BE49-F238E27FC236}">
                <a16:creationId xmlns:a16="http://schemas.microsoft.com/office/drawing/2014/main" id="{1C64FA77-F88F-9223-AF25-8898056921A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97" name="CaixaDeTexto 296">
            <a:extLst>
              <a:ext uri="{FF2B5EF4-FFF2-40B4-BE49-F238E27FC236}">
                <a16:creationId xmlns:a16="http://schemas.microsoft.com/office/drawing/2014/main" id="{8F3FEA42-0A15-A58F-41CB-D284F043A01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33</xdr:row>
      <xdr:rowOff>208213</xdr:rowOff>
    </xdr:from>
    <xdr:to>
      <xdr:col>7</xdr:col>
      <xdr:colOff>205343</xdr:colOff>
      <xdr:row>34</xdr:row>
      <xdr:rowOff>210861</xdr:rowOff>
    </xdr:to>
    <xdr:grpSp>
      <xdr:nvGrpSpPr>
        <xdr:cNvPr id="298" name="Agrupar 297">
          <a:extLst>
            <a:ext uri="{FF2B5EF4-FFF2-40B4-BE49-F238E27FC236}">
              <a16:creationId xmlns:a16="http://schemas.microsoft.com/office/drawing/2014/main" id="{9E99188F-3B55-4051-9404-AE73D39CA007}"/>
            </a:ext>
          </a:extLst>
        </xdr:cNvPr>
        <xdr:cNvGrpSpPr/>
      </xdr:nvGrpSpPr>
      <xdr:grpSpPr>
        <a:xfrm>
          <a:off x="6623627" y="7659864"/>
          <a:ext cx="182763" cy="224160"/>
          <a:chOff x="6572251" y="7468545"/>
          <a:chExt cx="223837" cy="280178"/>
        </a:xfrm>
      </xdr:grpSpPr>
      <xdr:sp macro="" textlink="">
        <xdr:nvSpPr>
          <xdr:cNvPr id="299" name="Elipse 298">
            <a:extLst>
              <a:ext uri="{FF2B5EF4-FFF2-40B4-BE49-F238E27FC236}">
                <a16:creationId xmlns:a16="http://schemas.microsoft.com/office/drawing/2014/main" id="{1667A2BD-7EF9-80C2-B134-946B68EA8A6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00" name="CaixaDeTexto 299">
            <a:extLst>
              <a:ext uri="{FF2B5EF4-FFF2-40B4-BE49-F238E27FC236}">
                <a16:creationId xmlns:a16="http://schemas.microsoft.com/office/drawing/2014/main" id="{192FA89E-78E4-25F5-D0C5-89AE4F964A3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33</xdr:row>
      <xdr:rowOff>216783</xdr:rowOff>
    </xdr:from>
    <xdr:to>
      <xdr:col>7</xdr:col>
      <xdr:colOff>725408</xdr:colOff>
      <xdr:row>34</xdr:row>
      <xdr:rowOff>220278</xdr:rowOff>
    </xdr:to>
    <xdr:grpSp>
      <xdr:nvGrpSpPr>
        <xdr:cNvPr id="301" name="Agrupar 300">
          <a:extLst>
            <a:ext uri="{FF2B5EF4-FFF2-40B4-BE49-F238E27FC236}">
              <a16:creationId xmlns:a16="http://schemas.microsoft.com/office/drawing/2014/main" id="{EBADBB3A-715E-4801-B167-80F82EA39D7B}"/>
            </a:ext>
          </a:extLst>
        </xdr:cNvPr>
        <xdr:cNvGrpSpPr/>
      </xdr:nvGrpSpPr>
      <xdr:grpSpPr>
        <a:xfrm>
          <a:off x="7143692" y="7668434"/>
          <a:ext cx="182763" cy="225007"/>
          <a:chOff x="6572251" y="7477594"/>
          <a:chExt cx="223837" cy="280178"/>
        </a:xfrm>
      </xdr:grpSpPr>
      <xdr:sp macro="" textlink="">
        <xdr:nvSpPr>
          <xdr:cNvPr id="302" name="Elipse 301">
            <a:extLst>
              <a:ext uri="{FF2B5EF4-FFF2-40B4-BE49-F238E27FC236}">
                <a16:creationId xmlns:a16="http://schemas.microsoft.com/office/drawing/2014/main" id="{5686B419-4C98-9D8F-8BDB-B69DC1B83C1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03" name="CaixaDeTexto 302">
            <a:extLst>
              <a:ext uri="{FF2B5EF4-FFF2-40B4-BE49-F238E27FC236}">
                <a16:creationId xmlns:a16="http://schemas.microsoft.com/office/drawing/2014/main" id="{20B15468-60BB-FFC2-53A4-B120CBAF3D1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37</xdr:row>
      <xdr:rowOff>208213</xdr:rowOff>
    </xdr:from>
    <xdr:to>
      <xdr:col>7</xdr:col>
      <xdr:colOff>205343</xdr:colOff>
      <xdr:row>38</xdr:row>
      <xdr:rowOff>210861</xdr:rowOff>
    </xdr:to>
    <xdr:grpSp>
      <xdr:nvGrpSpPr>
        <xdr:cNvPr id="304" name="Agrupar 303">
          <a:extLst>
            <a:ext uri="{FF2B5EF4-FFF2-40B4-BE49-F238E27FC236}">
              <a16:creationId xmlns:a16="http://schemas.microsoft.com/office/drawing/2014/main" id="{59E8FCE6-4612-4993-9565-FCE6F5AB9BD8}"/>
            </a:ext>
          </a:extLst>
        </xdr:cNvPr>
        <xdr:cNvGrpSpPr/>
      </xdr:nvGrpSpPr>
      <xdr:grpSpPr>
        <a:xfrm>
          <a:off x="6623627" y="8545911"/>
          <a:ext cx="182763" cy="224159"/>
          <a:chOff x="6572251" y="7468545"/>
          <a:chExt cx="223837" cy="280178"/>
        </a:xfrm>
      </xdr:grpSpPr>
      <xdr:sp macro="" textlink="">
        <xdr:nvSpPr>
          <xdr:cNvPr id="305" name="Elipse 304">
            <a:extLst>
              <a:ext uri="{FF2B5EF4-FFF2-40B4-BE49-F238E27FC236}">
                <a16:creationId xmlns:a16="http://schemas.microsoft.com/office/drawing/2014/main" id="{1BA8C24E-4EDB-8519-D11A-528480276E8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06" name="CaixaDeTexto 305">
            <a:extLst>
              <a:ext uri="{FF2B5EF4-FFF2-40B4-BE49-F238E27FC236}">
                <a16:creationId xmlns:a16="http://schemas.microsoft.com/office/drawing/2014/main" id="{30C56182-4D8D-A068-3C8C-ED4928C8BF1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37</xdr:row>
      <xdr:rowOff>216783</xdr:rowOff>
    </xdr:from>
    <xdr:to>
      <xdr:col>7</xdr:col>
      <xdr:colOff>725408</xdr:colOff>
      <xdr:row>38</xdr:row>
      <xdr:rowOff>220278</xdr:rowOff>
    </xdr:to>
    <xdr:grpSp>
      <xdr:nvGrpSpPr>
        <xdr:cNvPr id="307" name="Agrupar 306">
          <a:extLst>
            <a:ext uri="{FF2B5EF4-FFF2-40B4-BE49-F238E27FC236}">
              <a16:creationId xmlns:a16="http://schemas.microsoft.com/office/drawing/2014/main" id="{AB3B339C-BCBC-440F-83D6-AEB3CDC2BB2A}"/>
            </a:ext>
          </a:extLst>
        </xdr:cNvPr>
        <xdr:cNvGrpSpPr/>
      </xdr:nvGrpSpPr>
      <xdr:grpSpPr>
        <a:xfrm>
          <a:off x="7143692" y="8554481"/>
          <a:ext cx="182763" cy="225006"/>
          <a:chOff x="6572251" y="7477594"/>
          <a:chExt cx="223837" cy="280178"/>
        </a:xfrm>
      </xdr:grpSpPr>
      <xdr:sp macro="" textlink="">
        <xdr:nvSpPr>
          <xdr:cNvPr id="308" name="Elipse 307">
            <a:extLst>
              <a:ext uri="{FF2B5EF4-FFF2-40B4-BE49-F238E27FC236}">
                <a16:creationId xmlns:a16="http://schemas.microsoft.com/office/drawing/2014/main" id="{E943522B-24A0-3370-A895-D94FD639393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09" name="CaixaDeTexto 308">
            <a:extLst>
              <a:ext uri="{FF2B5EF4-FFF2-40B4-BE49-F238E27FC236}">
                <a16:creationId xmlns:a16="http://schemas.microsoft.com/office/drawing/2014/main" id="{C1F84717-9029-CB47-9530-35047F25749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32</xdr:row>
      <xdr:rowOff>208213</xdr:rowOff>
    </xdr:from>
    <xdr:to>
      <xdr:col>7</xdr:col>
      <xdr:colOff>205343</xdr:colOff>
      <xdr:row>33</xdr:row>
      <xdr:rowOff>210861</xdr:rowOff>
    </xdr:to>
    <xdr:grpSp>
      <xdr:nvGrpSpPr>
        <xdr:cNvPr id="316" name="Agrupar 315">
          <a:extLst>
            <a:ext uri="{FF2B5EF4-FFF2-40B4-BE49-F238E27FC236}">
              <a16:creationId xmlns:a16="http://schemas.microsoft.com/office/drawing/2014/main" id="{B6F214DD-A39F-418E-ABA2-5C5AD97D5357}"/>
            </a:ext>
          </a:extLst>
        </xdr:cNvPr>
        <xdr:cNvGrpSpPr/>
      </xdr:nvGrpSpPr>
      <xdr:grpSpPr>
        <a:xfrm>
          <a:off x="6623627" y="7438353"/>
          <a:ext cx="182763" cy="224159"/>
          <a:chOff x="6572251" y="7468545"/>
          <a:chExt cx="223837" cy="280178"/>
        </a:xfrm>
      </xdr:grpSpPr>
      <xdr:sp macro="" textlink="">
        <xdr:nvSpPr>
          <xdr:cNvPr id="317" name="Elipse 316">
            <a:extLst>
              <a:ext uri="{FF2B5EF4-FFF2-40B4-BE49-F238E27FC236}">
                <a16:creationId xmlns:a16="http://schemas.microsoft.com/office/drawing/2014/main" id="{4F32C794-AD9E-C708-2A58-6A13751C355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18" name="CaixaDeTexto 317">
            <a:extLst>
              <a:ext uri="{FF2B5EF4-FFF2-40B4-BE49-F238E27FC236}">
                <a16:creationId xmlns:a16="http://schemas.microsoft.com/office/drawing/2014/main" id="{604599B3-E8F5-3716-3CC9-9A816F353F8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32</xdr:row>
      <xdr:rowOff>216783</xdr:rowOff>
    </xdr:from>
    <xdr:to>
      <xdr:col>7</xdr:col>
      <xdr:colOff>725408</xdr:colOff>
      <xdr:row>33</xdr:row>
      <xdr:rowOff>220278</xdr:rowOff>
    </xdr:to>
    <xdr:grpSp>
      <xdr:nvGrpSpPr>
        <xdr:cNvPr id="319" name="Agrupar 318">
          <a:extLst>
            <a:ext uri="{FF2B5EF4-FFF2-40B4-BE49-F238E27FC236}">
              <a16:creationId xmlns:a16="http://schemas.microsoft.com/office/drawing/2014/main" id="{06059E8B-C8C0-4E6B-B4C9-D3CC7CD33DF6}"/>
            </a:ext>
          </a:extLst>
        </xdr:cNvPr>
        <xdr:cNvGrpSpPr/>
      </xdr:nvGrpSpPr>
      <xdr:grpSpPr>
        <a:xfrm>
          <a:off x="7143692" y="7446923"/>
          <a:ext cx="182763" cy="225006"/>
          <a:chOff x="6572251" y="7477594"/>
          <a:chExt cx="223837" cy="280178"/>
        </a:xfrm>
      </xdr:grpSpPr>
      <xdr:sp macro="" textlink="">
        <xdr:nvSpPr>
          <xdr:cNvPr id="320" name="Elipse 319">
            <a:extLst>
              <a:ext uri="{FF2B5EF4-FFF2-40B4-BE49-F238E27FC236}">
                <a16:creationId xmlns:a16="http://schemas.microsoft.com/office/drawing/2014/main" id="{BBA852FF-AA06-21C5-4EB2-A95157F3462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21" name="CaixaDeTexto 320">
            <a:extLst>
              <a:ext uri="{FF2B5EF4-FFF2-40B4-BE49-F238E27FC236}">
                <a16:creationId xmlns:a16="http://schemas.microsoft.com/office/drawing/2014/main" id="{1C2F1066-B974-6302-7877-C0564BC7783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39</xdr:row>
      <xdr:rowOff>208213</xdr:rowOff>
    </xdr:from>
    <xdr:to>
      <xdr:col>7</xdr:col>
      <xdr:colOff>205343</xdr:colOff>
      <xdr:row>40</xdr:row>
      <xdr:rowOff>210861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FC76BF9-3A6B-47C9-AB6E-8D44C515DC26}"/>
            </a:ext>
          </a:extLst>
        </xdr:cNvPr>
        <xdr:cNvGrpSpPr/>
      </xdr:nvGrpSpPr>
      <xdr:grpSpPr>
        <a:xfrm>
          <a:off x="6623627" y="8988934"/>
          <a:ext cx="182763" cy="224160"/>
          <a:chOff x="6572251" y="7468545"/>
          <a:chExt cx="223837" cy="280178"/>
        </a:xfrm>
      </xdr:grpSpPr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50D37D1E-D4AF-CD36-942E-75D50F7C616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1CF654BD-D617-9FC2-6D37-3B1771C44C9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39</xdr:row>
      <xdr:rowOff>216783</xdr:rowOff>
    </xdr:from>
    <xdr:to>
      <xdr:col>7</xdr:col>
      <xdr:colOff>725408</xdr:colOff>
      <xdr:row>40</xdr:row>
      <xdr:rowOff>220278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8474AC4-4DCF-4883-91DC-F66D9ACBC83A}"/>
            </a:ext>
          </a:extLst>
        </xdr:cNvPr>
        <xdr:cNvGrpSpPr/>
      </xdr:nvGrpSpPr>
      <xdr:grpSpPr>
        <a:xfrm>
          <a:off x="7143692" y="8997504"/>
          <a:ext cx="182763" cy="225007"/>
          <a:chOff x="6572251" y="7477594"/>
          <a:chExt cx="223837" cy="280178"/>
        </a:xfrm>
      </xdr:grpSpPr>
      <xdr:sp macro="" textlink="">
        <xdr:nvSpPr>
          <xdr:cNvPr id="6" name="Elipse 5">
            <a:extLst>
              <a:ext uri="{FF2B5EF4-FFF2-40B4-BE49-F238E27FC236}">
                <a16:creationId xmlns:a16="http://schemas.microsoft.com/office/drawing/2014/main" id="{D74CEAE0-1E31-2491-2418-1DFD670E805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C4749A74-C9DA-666E-B4F1-A4A03AFA6E7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40</xdr:row>
      <xdr:rowOff>208213</xdr:rowOff>
    </xdr:from>
    <xdr:to>
      <xdr:col>7</xdr:col>
      <xdr:colOff>205343</xdr:colOff>
      <xdr:row>41</xdr:row>
      <xdr:rowOff>210861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F0D07105-C32A-466B-9FC5-2011151C44BD}"/>
            </a:ext>
          </a:extLst>
        </xdr:cNvPr>
        <xdr:cNvGrpSpPr/>
      </xdr:nvGrpSpPr>
      <xdr:grpSpPr>
        <a:xfrm>
          <a:off x="6623627" y="9210446"/>
          <a:ext cx="182763" cy="224159"/>
          <a:chOff x="6572251" y="7468545"/>
          <a:chExt cx="223837" cy="280178"/>
        </a:xfrm>
      </xdr:grpSpPr>
      <xdr:sp macro="" textlink="">
        <xdr:nvSpPr>
          <xdr:cNvPr id="15" name="Elipse 14">
            <a:extLst>
              <a:ext uri="{FF2B5EF4-FFF2-40B4-BE49-F238E27FC236}">
                <a16:creationId xmlns:a16="http://schemas.microsoft.com/office/drawing/2014/main" id="{B83BD324-84BA-FF63-70DC-9789E6E57BF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D18842-2EF5-387E-D89D-3B2C70563F5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40</xdr:row>
      <xdr:rowOff>216783</xdr:rowOff>
    </xdr:from>
    <xdr:to>
      <xdr:col>7</xdr:col>
      <xdr:colOff>725408</xdr:colOff>
      <xdr:row>41</xdr:row>
      <xdr:rowOff>220278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4FDED36A-1F2C-4B0D-96A9-098EFD18BD89}"/>
            </a:ext>
          </a:extLst>
        </xdr:cNvPr>
        <xdr:cNvGrpSpPr/>
      </xdr:nvGrpSpPr>
      <xdr:grpSpPr>
        <a:xfrm>
          <a:off x="7143692" y="9219016"/>
          <a:ext cx="182763" cy="225006"/>
          <a:chOff x="6572251" y="7477594"/>
          <a:chExt cx="223837" cy="280178"/>
        </a:xfrm>
      </xdr:grpSpPr>
      <xdr:sp macro="" textlink="">
        <xdr:nvSpPr>
          <xdr:cNvPr id="18" name="Elipse 17">
            <a:extLst>
              <a:ext uri="{FF2B5EF4-FFF2-40B4-BE49-F238E27FC236}">
                <a16:creationId xmlns:a16="http://schemas.microsoft.com/office/drawing/2014/main" id="{40B9AB2F-5DE1-9326-19D7-06996B13B6F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B7A337B6-79DA-D6A8-C0C0-6DC347A9428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41</xdr:row>
      <xdr:rowOff>208213</xdr:rowOff>
    </xdr:from>
    <xdr:to>
      <xdr:col>7</xdr:col>
      <xdr:colOff>205343</xdr:colOff>
      <xdr:row>42</xdr:row>
      <xdr:rowOff>210861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A1B2461F-E863-4B64-BBB0-17CD2DD8116E}"/>
            </a:ext>
          </a:extLst>
        </xdr:cNvPr>
        <xdr:cNvGrpSpPr/>
      </xdr:nvGrpSpPr>
      <xdr:grpSpPr>
        <a:xfrm>
          <a:off x="6623627" y="9431957"/>
          <a:ext cx="182763" cy="224160"/>
          <a:chOff x="6572251" y="7468545"/>
          <a:chExt cx="223837" cy="280178"/>
        </a:xfrm>
      </xdr:grpSpPr>
      <xdr:sp macro="" textlink="">
        <xdr:nvSpPr>
          <xdr:cNvPr id="27" name="Elipse 26">
            <a:extLst>
              <a:ext uri="{FF2B5EF4-FFF2-40B4-BE49-F238E27FC236}">
                <a16:creationId xmlns:a16="http://schemas.microsoft.com/office/drawing/2014/main" id="{77E1F98A-4A75-936A-B48A-7C9D4821E75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F241EDCB-7B4F-8542-0E81-5C045388D71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41</xdr:row>
      <xdr:rowOff>216783</xdr:rowOff>
    </xdr:from>
    <xdr:to>
      <xdr:col>7</xdr:col>
      <xdr:colOff>725408</xdr:colOff>
      <xdr:row>42</xdr:row>
      <xdr:rowOff>220278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88817447-789B-42C4-A5AB-B22673AD119C}"/>
            </a:ext>
          </a:extLst>
        </xdr:cNvPr>
        <xdr:cNvGrpSpPr/>
      </xdr:nvGrpSpPr>
      <xdr:grpSpPr>
        <a:xfrm>
          <a:off x="7143692" y="9440527"/>
          <a:ext cx="182763" cy="225007"/>
          <a:chOff x="6572251" y="7477594"/>
          <a:chExt cx="223837" cy="280178"/>
        </a:xfrm>
      </xdr:grpSpPr>
      <xdr:sp macro="" textlink="">
        <xdr:nvSpPr>
          <xdr:cNvPr id="30" name="Elipse 29">
            <a:extLst>
              <a:ext uri="{FF2B5EF4-FFF2-40B4-BE49-F238E27FC236}">
                <a16:creationId xmlns:a16="http://schemas.microsoft.com/office/drawing/2014/main" id="{489141B7-106F-F89B-F530-934FB01E2AD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C7375B30-B781-66C1-9EBE-D9260B683B0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38</xdr:row>
      <xdr:rowOff>208213</xdr:rowOff>
    </xdr:from>
    <xdr:to>
      <xdr:col>7</xdr:col>
      <xdr:colOff>205343</xdr:colOff>
      <xdr:row>39</xdr:row>
      <xdr:rowOff>210861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1B861A3-7D5C-4CA7-B4B2-8A723A2B1F15}"/>
            </a:ext>
          </a:extLst>
        </xdr:cNvPr>
        <xdr:cNvGrpSpPr/>
      </xdr:nvGrpSpPr>
      <xdr:grpSpPr>
        <a:xfrm>
          <a:off x="6623627" y="8767422"/>
          <a:ext cx="182763" cy="224160"/>
          <a:chOff x="6572251" y="7468545"/>
          <a:chExt cx="223837" cy="280178"/>
        </a:xfrm>
      </xdr:grpSpPr>
      <xdr:sp macro="" textlink="">
        <xdr:nvSpPr>
          <xdr:cNvPr id="33" name="Elipse 32">
            <a:extLst>
              <a:ext uri="{FF2B5EF4-FFF2-40B4-BE49-F238E27FC236}">
                <a16:creationId xmlns:a16="http://schemas.microsoft.com/office/drawing/2014/main" id="{F9E9A43A-ED71-9985-F3E7-F27299D39D2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18D3FCC-8AF6-DFD1-E17E-074E6D2B6D9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38</xdr:row>
      <xdr:rowOff>216783</xdr:rowOff>
    </xdr:from>
    <xdr:to>
      <xdr:col>7</xdr:col>
      <xdr:colOff>725408</xdr:colOff>
      <xdr:row>39</xdr:row>
      <xdr:rowOff>220278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AE4FD4C6-EA4F-4149-9DD8-7665FA867587}"/>
            </a:ext>
          </a:extLst>
        </xdr:cNvPr>
        <xdr:cNvGrpSpPr/>
      </xdr:nvGrpSpPr>
      <xdr:grpSpPr>
        <a:xfrm>
          <a:off x="7143692" y="8775992"/>
          <a:ext cx="182763" cy="225007"/>
          <a:chOff x="6572251" y="7477594"/>
          <a:chExt cx="223837" cy="280178"/>
        </a:xfrm>
      </xdr:grpSpPr>
      <xdr:sp macro="" textlink="">
        <xdr:nvSpPr>
          <xdr:cNvPr id="36" name="Elipse 35">
            <a:extLst>
              <a:ext uri="{FF2B5EF4-FFF2-40B4-BE49-F238E27FC236}">
                <a16:creationId xmlns:a16="http://schemas.microsoft.com/office/drawing/2014/main" id="{24E45ACE-34B1-87E4-2C70-C7547089D38C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C9EBE07-67A4-CFD5-7275-63FCA269DC6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42</xdr:row>
      <xdr:rowOff>208213</xdr:rowOff>
    </xdr:from>
    <xdr:to>
      <xdr:col>7</xdr:col>
      <xdr:colOff>205343</xdr:colOff>
      <xdr:row>43</xdr:row>
      <xdr:rowOff>210861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7EA9EFF7-0657-4FAD-A797-080765297F8D}"/>
            </a:ext>
          </a:extLst>
        </xdr:cNvPr>
        <xdr:cNvGrpSpPr/>
      </xdr:nvGrpSpPr>
      <xdr:grpSpPr>
        <a:xfrm>
          <a:off x="6623627" y="9653469"/>
          <a:ext cx="182763" cy="224159"/>
          <a:chOff x="6572251" y="7468545"/>
          <a:chExt cx="223837" cy="280178"/>
        </a:xfrm>
      </xdr:grpSpPr>
      <xdr:sp macro="" textlink="">
        <xdr:nvSpPr>
          <xdr:cNvPr id="39" name="Elipse 38">
            <a:extLst>
              <a:ext uri="{FF2B5EF4-FFF2-40B4-BE49-F238E27FC236}">
                <a16:creationId xmlns:a16="http://schemas.microsoft.com/office/drawing/2014/main" id="{44E8A2DF-C6FE-3154-774C-BEE7A9202D1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A5402961-CBF6-74C8-BD9E-32FB83881C7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42</xdr:row>
      <xdr:rowOff>216783</xdr:rowOff>
    </xdr:from>
    <xdr:to>
      <xdr:col>7</xdr:col>
      <xdr:colOff>725408</xdr:colOff>
      <xdr:row>43</xdr:row>
      <xdr:rowOff>220278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F7712CE8-94F4-4FEC-B334-C6C4AFB6770A}"/>
            </a:ext>
          </a:extLst>
        </xdr:cNvPr>
        <xdr:cNvGrpSpPr/>
      </xdr:nvGrpSpPr>
      <xdr:grpSpPr>
        <a:xfrm>
          <a:off x="7143692" y="9662039"/>
          <a:ext cx="182763" cy="225006"/>
          <a:chOff x="6572251" y="7477594"/>
          <a:chExt cx="223837" cy="280178"/>
        </a:xfrm>
      </xdr:grpSpPr>
      <xdr:sp macro="" textlink="">
        <xdr:nvSpPr>
          <xdr:cNvPr id="42" name="Elipse 41">
            <a:extLst>
              <a:ext uri="{FF2B5EF4-FFF2-40B4-BE49-F238E27FC236}">
                <a16:creationId xmlns:a16="http://schemas.microsoft.com/office/drawing/2014/main" id="{010CC7D4-B6ED-4BCC-2371-1F17651FA40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650CB0FC-BFFE-47AA-F109-BFA70E43B301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44</xdr:row>
      <xdr:rowOff>208213</xdr:rowOff>
    </xdr:from>
    <xdr:to>
      <xdr:col>7</xdr:col>
      <xdr:colOff>205343</xdr:colOff>
      <xdr:row>45</xdr:row>
      <xdr:rowOff>210861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6B692958-8D66-444A-8170-80586B205167}"/>
            </a:ext>
          </a:extLst>
        </xdr:cNvPr>
        <xdr:cNvGrpSpPr/>
      </xdr:nvGrpSpPr>
      <xdr:grpSpPr>
        <a:xfrm>
          <a:off x="6623627" y="10096492"/>
          <a:ext cx="182763" cy="224160"/>
          <a:chOff x="6572251" y="7468545"/>
          <a:chExt cx="223837" cy="280178"/>
        </a:xfrm>
      </xdr:grpSpPr>
      <xdr:sp macro="" textlink="">
        <xdr:nvSpPr>
          <xdr:cNvPr id="45" name="Elipse 44">
            <a:extLst>
              <a:ext uri="{FF2B5EF4-FFF2-40B4-BE49-F238E27FC236}">
                <a16:creationId xmlns:a16="http://schemas.microsoft.com/office/drawing/2014/main" id="{C399DBA0-6FF6-DA6F-052B-F43C62F565D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17EEAA7C-F325-64BC-6A94-E26B1BA7D087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44</xdr:row>
      <xdr:rowOff>216783</xdr:rowOff>
    </xdr:from>
    <xdr:to>
      <xdr:col>7</xdr:col>
      <xdr:colOff>725408</xdr:colOff>
      <xdr:row>45</xdr:row>
      <xdr:rowOff>220278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F1343E1-2331-4C09-AD26-B6DCEAEDF3B5}"/>
            </a:ext>
          </a:extLst>
        </xdr:cNvPr>
        <xdr:cNvGrpSpPr/>
      </xdr:nvGrpSpPr>
      <xdr:grpSpPr>
        <a:xfrm>
          <a:off x="7143692" y="10105062"/>
          <a:ext cx="182763" cy="225007"/>
          <a:chOff x="6572251" y="7477594"/>
          <a:chExt cx="223837" cy="280178"/>
        </a:xfrm>
      </xdr:grpSpPr>
      <xdr:sp macro="" textlink="">
        <xdr:nvSpPr>
          <xdr:cNvPr id="48" name="Elipse 47">
            <a:extLst>
              <a:ext uri="{FF2B5EF4-FFF2-40B4-BE49-F238E27FC236}">
                <a16:creationId xmlns:a16="http://schemas.microsoft.com/office/drawing/2014/main" id="{CCC4AE8B-5E97-6AB3-A07E-0B31E8FEB7D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AED0749E-1BC4-B477-B697-FFD1DC31392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45</xdr:row>
      <xdr:rowOff>208213</xdr:rowOff>
    </xdr:from>
    <xdr:to>
      <xdr:col>7</xdr:col>
      <xdr:colOff>205343</xdr:colOff>
      <xdr:row>46</xdr:row>
      <xdr:rowOff>210861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98AD59CA-CE9A-418E-94DB-4AB49309F666}"/>
            </a:ext>
          </a:extLst>
        </xdr:cNvPr>
        <xdr:cNvGrpSpPr/>
      </xdr:nvGrpSpPr>
      <xdr:grpSpPr>
        <a:xfrm>
          <a:off x="6623627" y="10318004"/>
          <a:ext cx="182763" cy="224159"/>
          <a:chOff x="6572251" y="7468545"/>
          <a:chExt cx="223837" cy="280178"/>
        </a:xfrm>
      </xdr:grpSpPr>
      <xdr:sp macro="" textlink="">
        <xdr:nvSpPr>
          <xdr:cNvPr id="51" name="Elipse 50">
            <a:extLst>
              <a:ext uri="{FF2B5EF4-FFF2-40B4-BE49-F238E27FC236}">
                <a16:creationId xmlns:a16="http://schemas.microsoft.com/office/drawing/2014/main" id="{930BEE9D-38CF-A6D4-FDD5-4CE52F31FB7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41856A19-4602-D1FA-6206-5812913E22F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45</xdr:row>
      <xdr:rowOff>216783</xdr:rowOff>
    </xdr:from>
    <xdr:to>
      <xdr:col>7</xdr:col>
      <xdr:colOff>725408</xdr:colOff>
      <xdr:row>46</xdr:row>
      <xdr:rowOff>220278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CCE1D1BA-873E-49BA-9C04-69A1D38E42CB}"/>
            </a:ext>
          </a:extLst>
        </xdr:cNvPr>
        <xdr:cNvGrpSpPr/>
      </xdr:nvGrpSpPr>
      <xdr:grpSpPr>
        <a:xfrm>
          <a:off x="7143692" y="10326574"/>
          <a:ext cx="182763" cy="225006"/>
          <a:chOff x="6572251" y="7477594"/>
          <a:chExt cx="223837" cy="280178"/>
        </a:xfrm>
      </xdr:grpSpPr>
      <xdr:sp macro="" textlink="">
        <xdr:nvSpPr>
          <xdr:cNvPr id="54" name="Elipse 53">
            <a:extLst>
              <a:ext uri="{FF2B5EF4-FFF2-40B4-BE49-F238E27FC236}">
                <a16:creationId xmlns:a16="http://schemas.microsoft.com/office/drawing/2014/main" id="{12FE80C3-065E-0164-8E2B-0CC65BE400A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2B477220-FC8E-0095-FCA9-D855AD1478EC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46</xdr:row>
      <xdr:rowOff>208213</xdr:rowOff>
    </xdr:from>
    <xdr:to>
      <xdr:col>7</xdr:col>
      <xdr:colOff>205343</xdr:colOff>
      <xdr:row>47</xdr:row>
      <xdr:rowOff>210861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681A229E-6BD0-47D9-A750-18552C05F04D}"/>
            </a:ext>
          </a:extLst>
        </xdr:cNvPr>
        <xdr:cNvGrpSpPr/>
      </xdr:nvGrpSpPr>
      <xdr:grpSpPr>
        <a:xfrm>
          <a:off x="6623627" y="10539515"/>
          <a:ext cx="182763" cy="224160"/>
          <a:chOff x="6572251" y="7468545"/>
          <a:chExt cx="223837" cy="280178"/>
        </a:xfrm>
      </xdr:grpSpPr>
      <xdr:sp macro="" textlink="">
        <xdr:nvSpPr>
          <xdr:cNvPr id="57" name="Elipse 56">
            <a:extLst>
              <a:ext uri="{FF2B5EF4-FFF2-40B4-BE49-F238E27FC236}">
                <a16:creationId xmlns:a16="http://schemas.microsoft.com/office/drawing/2014/main" id="{37300C18-E243-9FA6-E899-73B3E064706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82E4DB48-53D9-F533-FF5E-F08D8E16102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46</xdr:row>
      <xdr:rowOff>216783</xdr:rowOff>
    </xdr:from>
    <xdr:to>
      <xdr:col>7</xdr:col>
      <xdr:colOff>725408</xdr:colOff>
      <xdr:row>47</xdr:row>
      <xdr:rowOff>220278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2BBE37FC-ACD8-4214-B858-7ED12A1B95EA}"/>
            </a:ext>
          </a:extLst>
        </xdr:cNvPr>
        <xdr:cNvGrpSpPr/>
      </xdr:nvGrpSpPr>
      <xdr:grpSpPr>
        <a:xfrm>
          <a:off x="7143692" y="10548085"/>
          <a:ext cx="182763" cy="225007"/>
          <a:chOff x="6572251" y="7477594"/>
          <a:chExt cx="223837" cy="280178"/>
        </a:xfrm>
      </xdr:grpSpPr>
      <xdr:sp macro="" textlink="">
        <xdr:nvSpPr>
          <xdr:cNvPr id="86" name="Elipse 85">
            <a:extLst>
              <a:ext uri="{FF2B5EF4-FFF2-40B4-BE49-F238E27FC236}">
                <a16:creationId xmlns:a16="http://schemas.microsoft.com/office/drawing/2014/main" id="{981D3D64-6F38-BF72-921F-F67882094DF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9B210636-2C54-23A8-54B5-70AF5155FD1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43</xdr:row>
      <xdr:rowOff>208213</xdr:rowOff>
    </xdr:from>
    <xdr:to>
      <xdr:col>7</xdr:col>
      <xdr:colOff>205343</xdr:colOff>
      <xdr:row>44</xdr:row>
      <xdr:rowOff>210861</xdr:rowOff>
    </xdr:to>
    <xdr:grpSp>
      <xdr:nvGrpSpPr>
        <xdr:cNvPr id="88" name="Agrupar 87">
          <a:extLst>
            <a:ext uri="{FF2B5EF4-FFF2-40B4-BE49-F238E27FC236}">
              <a16:creationId xmlns:a16="http://schemas.microsoft.com/office/drawing/2014/main" id="{AC12F217-BB9B-4ED7-AD47-2DF2BAAB8DDF}"/>
            </a:ext>
          </a:extLst>
        </xdr:cNvPr>
        <xdr:cNvGrpSpPr/>
      </xdr:nvGrpSpPr>
      <xdr:grpSpPr>
        <a:xfrm>
          <a:off x="6623627" y="9874980"/>
          <a:ext cx="182763" cy="224160"/>
          <a:chOff x="6572251" y="7468545"/>
          <a:chExt cx="223837" cy="280178"/>
        </a:xfrm>
      </xdr:grpSpPr>
      <xdr:sp macro="" textlink="">
        <xdr:nvSpPr>
          <xdr:cNvPr id="89" name="Elipse 88">
            <a:extLst>
              <a:ext uri="{FF2B5EF4-FFF2-40B4-BE49-F238E27FC236}">
                <a16:creationId xmlns:a16="http://schemas.microsoft.com/office/drawing/2014/main" id="{BCF0D2DA-D43E-46C4-BC3B-171D3FEC35D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0" name="CaixaDeTexto 89">
            <a:extLst>
              <a:ext uri="{FF2B5EF4-FFF2-40B4-BE49-F238E27FC236}">
                <a16:creationId xmlns:a16="http://schemas.microsoft.com/office/drawing/2014/main" id="{411802D3-90E7-F21B-5F8E-8CE0131BB8C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43</xdr:row>
      <xdr:rowOff>216783</xdr:rowOff>
    </xdr:from>
    <xdr:to>
      <xdr:col>7</xdr:col>
      <xdr:colOff>725408</xdr:colOff>
      <xdr:row>44</xdr:row>
      <xdr:rowOff>220278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22FB2B0D-3751-479D-BF46-232A3F91FBB0}"/>
            </a:ext>
          </a:extLst>
        </xdr:cNvPr>
        <xdr:cNvGrpSpPr/>
      </xdr:nvGrpSpPr>
      <xdr:grpSpPr>
        <a:xfrm>
          <a:off x="7143692" y="9883550"/>
          <a:ext cx="182763" cy="225007"/>
          <a:chOff x="6572251" y="7477594"/>
          <a:chExt cx="223837" cy="280178"/>
        </a:xfrm>
      </xdr:grpSpPr>
      <xdr:sp macro="" textlink="">
        <xdr:nvSpPr>
          <xdr:cNvPr id="116" name="Elipse 115">
            <a:extLst>
              <a:ext uri="{FF2B5EF4-FFF2-40B4-BE49-F238E27FC236}">
                <a16:creationId xmlns:a16="http://schemas.microsoft.com/office/drawing/2014/main" id="{ED0FCB9F-8F0F-88E4-6F7D-2CC6AA65D27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17" name="CaixaDeTexto 116">
            <a:extLst>
              <a:ext uri="{FF2B5EF4-FFF2-40B4-BE49-F238E27FC236}">
                <a16:creationId xmlns:a16="http://schemas.microsoft.com/office/drawing/2014/main" id="{2CA0AB2D-4549-D672-156C-AF52329D9F6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47</xdr:row>
      <xdr:rowOff>208213</xdr:rowOff>
    </xdr:from>
    <xdr:to>
      <xdr:col>7</xdr:col>
      <xdr:colOff>205343</xdr:colOff>
      <xdr:row>48</xdr:row>
      <xdr:rowOff>210861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6EEF5F9A-B651-43E8-8768-E801EDE6666D}"/>
            </a:ext>
          </a:extLst>
        </xdr:cNvPr>
        <xdr:cNvGrpSpPr/>
      </xdr:nvGrpSpPr>
      <xdr:grpSpPr>
        <a:xfrm>
          <a:off x="6623627" y="10761027"/>
          <a:ext cx="182763" cy="224160"/>
          <a:chOff x="6572251" y="7468545"/>
          <a:chExt cx="223837" cy="280178"/>
        </a:xfrm>
      </xdr:grpSpPr>
      <xdr:sp macro="" textlink="">
        <xdr:nvSpPr>
          <xdr:cNvPr id="119" name="Elipse 118">
            <a:extLst>
              <a:ext uri="{FF2B5EF4-FFF2-40B4-BE49-F238E27FC236}">
                <a16:creationId xmlns:a16="http://schemas.microsoft.com/office/drawing/2014/main" id="{561F72EC-A455-8732-AA6A-64F37C71DE4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20" name="CaixaDeTexto 119">
            <a:extLst>
              <a:ext uri="{FF2B5EF4-FFF2-40B4-BE49-F238E27FC236}">
                <a16:creationId xmlns:a16="http://schemas.microsoft.com/office/drawing/2014/main" id="{0BFB9889-A00A-E455-6D00-14B56A09763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47</xdr:row>
      <xdr:rowOff>216783</xdr:rowOff>
    </xdr:from>
    <xdr:to>
      <xdr:col>7</xdr:col>
      <xdr:colOff>725408</xdr:colOff>
      <xdr:row>48</xdr:row>
      <xdr:rowOff>220278</xdr:rowOff>
    </xdr:to>
    <xdr:grpSp>
      <xdr:nvGrpSpPr>
        <xdr:cNvPr id="121" name="Agrupar 120">
          <a:extLst>
            <a:ext uri="{FF2B5EF4-FFF2-40B4-BE49-F238E27FC236}">
              <a16:creationId xmlns:a16="http://schemas.microsoft.com/office/drawing/2014/main" id="{820A35C9-339F-4721-8ECF-DFBE760FC3C7}"/>
            </a:ext>
          </a:extLst>
        </xdr:cNvPr>
        <xdr:cNvGrpSpPr/>
      </xdr:nvGrpSpPr>
      <xdr:grpSpPr>
        <a:xfrm>
          <a:off x="7143692" y="10769597"/>
          <a:ext cx="182763" cy="225007"/>
          <a:chOff x="6572251" y="7477594"/>
          <a:chExt cx="223837" cy="280178"/>
        </a:xfrm>
      </xdr:grpSpPr>
      <xdr:sp macro="" textlink="">
        <xdr:nvSpPr>
          <xdr:cNvPr id="140" name="Elipse 139">
            <a:extLst>
              <a:ext uri="{FF2B5EF4-FFF2-40B4-BE49-F238E27FC236}">
                <a16:creationId xmlns:a16="http://schemas.microsoft.com/office/drawing/2014/main" id="{91AC582E-1C6E-970C-2C8E-928C69EDC00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41" name="CaixaDeTexto 140">
            <a:extLst>
              <a:ext uri="{FF2B5EF4-FFF2-40B4-BE49-F238E27FC236}">
                <a16:creationId xmlns:a16="http://schemas.microsoft.com/office/drawing/2014/main" id="{4A1596A3-EF76-076E-83D4-3B6967DDD2FA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48</xdr:row>
      <xdr:rowOff>208213</xdr:rowOff>
    </xdr:from>
    <xdr:to>
      <xdr:col>7</xdr:col>
      <xdr:colOff>205343</xdr:colOff>
      <xdr:row>49</xdr:row>
      <xdr:rowOff>210861</xdr:rowOff>
    </xdr:to>
    <xdr:grpSp>
      <xdr:nvGrpSpPr>
        <xdr:cNvPr id="142" name="Agrupar 141">
          <a:extLst>
            <a:ext uri="{FF2B5EF4-FFF2-40B4-BE49-F238E27FC236}">
              <a16:creationId xmlns:a16="http://schemas.microsoft.com/office/drawing/2014/main" id="{C54080F9-5E20-42B2-999F-F5E735CAACF4}"/>
            </a:ext>
          </a:extLst>
        </xdr:cNvPr>
        <xdr:cNvGrpSpPr/>
      </xdr:nvGrpSpPr>
      <xdr:grpSpPr>
        <a:xfrm>
          <a:off x="6623627" y="10982539"/>
          <a:ext cx="182763" cy="224159"/>
          <a:chOff x="6572251" y="7468545"/>
          <a:chExt cx="223837" cy="280178"/>
        </a:xfrm>
      </xdr:grpSpPr>
      <xdr:sp macro="" textlink="">
        <xdr:nvSpPr>
          <xdr:cNvPr id="143" name="Elipse 142">
            <a:extLst>
              <a:ext uri="{FF2B5EF4-FFF2-40B4-BE49-F238E27FC236}">
                <a16:creationId xmlns:a16="http://schemas.microsoft.com/office/drawing/2014/main" id="{5646DBD6-9D53-1F7A-D1BE-50374086C47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44" name="CaixaDeTexto 143">
            <a:extLst>
              <a:ext uri="{FF2B5EF4-FFF2-40B4-BE49-F238E27FC236}">
                <a16:creationId xmlns:a16="http://schemas.microsoft.com/office/drawing/2014/main" id="{A0F93FBC-91CB-00D5-37C7-24C1702B381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48</xdr:row>
      <xdr:rowOff>216783</xdr:rowOff>
    </xdr:from>
    <xdr:to>
      <xdr:col>7</xdr:col>
      <xdr:colOff>725408</xdr:colOff>
      <xdr:row>49</xdr:row>
      <xdr:rowOff>220278</xdr:rowOff>
    </xdr:to>
    <xdr:grpSp>
      <xdr:nvGrpSpPr>
        <xdr:cNvPr id="145" name="Agrupar 144">
          <a:extLst>
            <a:ext uri="{FF2B5EF4-FFF2-40B4-BE49-F238E27FC236}">
              <a16:creationId xmlns:a16="http://schemas.microsoft.com/office/drawing/2014/main" id="{3D09F99C-C0DA-433E-A572-F1140F2E1227}"/>
            </a:ext>
          </a:extLst>
        </xdr:cNvPr>
        <xdr:cNvGrpSpPr/>
      </xdr:nvGrpSpPr>
      <xdr:grpSpPr>
        <a:xfrm>
          <a:off x="7143692" y="10991109"/>
          <a:ext cx="182763" cy="225006"/>
          <a:chOff x="6572251" y="7477594"/>
          <a:chExt cx="223837" cy="280178"/>
        </a:xfrm>
      </xdr:grpSpPr>
      <xdr:sp macro="" textlink="">
        <xdr:nvSpPr>
          <xdr:cNvPr id="146" name="Elipse 145">
            <a:extLst>
              <a:ext uri="{FF2B5EF4-FFF2-40B4-BE49-F238E27FC236}">
                <a16:creationId xmlns:a16="http://schemas.microsoft.com/office/drawing/2014/main" id="{2923526F-18AC-F316-7433-250431B00D7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47" name="CaixaDeTexto 146">
            <a:extLst>
              <a:ext uri="{FF2B5EF4-FFF2-40B4-BE49-F238E27FC236}">
                <a16:creationId xmlns:a16="http://schemas.microsoft.com/office/drawing/2014/main" id="{62CB02D2-D2ED-5BF0-82D2-426D3D5F03F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49</xdr:row>
      <xdr:rowOff>208213</xdr:rowOff>
    </xdr:from>
    <xdr:to>
      <xdr:col>7</xdr:col>
      <xdr:colOff>205343</xdr:colOff>
      <xdr:row>50</xdr:row>
      <xdr:rowOff>210861</xdr:rowOff>
    </xdr:to>
    <xdr:grpSp>
      <xdr:nvGrpSpPr>
        <xdr:cNvPr id="148" name="Agrupar 147">
          <a:extLst>
            <a:ext uri="{FF2B5EF4-FFF2-40B4-BE49-F238E27FC236}">
              <a16:creationId xmlns:a16="http://schemas.microsoft.com/office/drawing/2014/main" id="{17FEC3A8-3F9D-456B-953C-D7CA5FED5399}"/>
            </a:ext>
          </a:extLst>
        </xdr:cNvPr>
        <xdr:cNvGrpSpPr/>
      </xdr:nvGrpSpPr>
      <xdr:grpSpPr>
        <a:xfrm>
          <a:off x="6623627" y="11204050"/>
          <a:ext cx="182763" cy="224160"/>
          <a:chOff x="6572251" y="7468545"/>
          <a:chExt cx="223837" cy="280178"/>
        </a:xfrm>
      </xdr:grpSpPr>
      <xdr:sp macro="" textlink="">
        <xdr:nvSpPr>
          <xdr:cNvPr id="149" name="Elipse 148">
            <a:extLst>
              <a:ext uri="{FF2B5EF4-FFF2-40B4-BE49-F238E27FC236}">
                <a16:creationId xmlns:a16="http://schemas.microsoft.com/office/drawing/2014/main" id="{C70D7839-5CCD-C2B9-8F50-35BCFB2C53C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50" name="CaixaDeTexto 149">
            <a:extLst>
              <a:ext uri="{FF2B5EF4-FFF2-40B4-BE49-F238E27FC236}">
                <a16:creationId xmlns:a16="http://schemas.microsoft.com/office/drawing/2014/main" id="{886B1E1A-CCF6-725A-B774-0F2D740122CF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49</xdr:row>
      <xdr:rowOff>216783</xdr:rowOff>
    </xdr:from>
    <xdr:to>
      <xdr:col>7</xdr:col>
      <xdr:colOff>725408</xdr:colOff>
      <xdr:row>50</xdr:row>
      <xdr:rowOff>220278</xdr:rowOff>
    </xdr:to>
    <xdr:grpSp>
      <xdr:nvGrpSpPr>
        <xdr:cNvPr id="151" name="Agrupar 150">
          <a:extLst>
            <a:ext uri="{FF2B5EF4-FFF2-40B4-BE49-F238E27FC236}">
              <a16:creationId xmlns:a16="http://schemas.microsoft.com/office/drawing/2014/main" id="{91D53B7F-4E0E-4D18-B52F-97892893D5C0}"/>
            </a:ext>
          </a:extLst>
        </xdr:cNvPr>
        <xdr:cNvGrpSpPr/>
      </xdr:nvGrpSpPr>
      <xdr:grpSpPr>
        <a:xfrm>
          <a:off x="7143692" y="11212620"/>
          <a:ext cx="182763" cy="225007"/>
          <a:chOff x="6572251" y="7477594"/>
          <a:chExt cx="223837" cy="280178"/>
        </a:xfrm>
      </xdr:grpSpPr>
      <xdr:sp macro="" textlink="">
        <xdr:nvSpPr>
          <xdr:cNvPr id="176" name="Elipse 175">
            <a:extLst>
              <a:ext uri="{FF2B5EF4-FFF2-40B4-BE49-F238E27FC236}">
                <a16:creationId xmlns:a16="http://schemas.microsoft.com/office/drawing/2014/main" id="{D8F07894-5EB0-11FC-7256-D06BEBB1F3A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77" name="CaixaDeTexto 176">
            <a:extLst>
              <a:ext uri="{FF2B5EF4-FFF2-40B4-BE49-F238E27FC236}">
                <a16:creationId xmlns:a16="http://schemas.microsoft.com/office/drawing/2014/main" id="{3AC2684D-CAE5-0F38-58C5-A3D485A4CE84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50</xdr:row>
      <xdr:rowOff>208213</xdr:rowOff>
    </xdr:from>
    <xdr:to>
      <xdr:col>7</xdr:col>
      <xdr:colOff>205343</xdr:colOff>
      <xdr:row>51</xdr:row>
      <xdr:rowOff>210861</xdr:rowOff>
    </xdr:to>
    <xdr:grpSp>
      <xdr:nvGrpSpPr>
        <xdr:cNvPr id="178" name="Agrupar 177">
          <a:extLst>
            <a:ext uri="{FF2B5EF4-FFF2-40B4-BE49-F238E27FC236}">
              <a16:creationId xmlns:a16="http://schemas.microsoft.com/office/drawing/2014/main" id="{0C3DD994-C85B-4FDE-9C40-184B7A888D10}"/>
            </a:ext>
          </a:extLst>
        </xdr:cNvPr>
        <xdr:cNvGrpSpPr/>
      </xdr:nvGrpSpPr>
      <xdr:grpSpPr>
        <a:xfrm>
          <a:off x="6623627" y="11425562"/>
          <a:ext cx="182763" cy="224159"/>
          <a:chOff x="6572251" y="7468545"/>
          <a:chExt cx="223837" cy="280178"/>
        </a:xfrm>
      </xdr:grpSpPr>
      <xdr:sp macro="" textlink="">
        <xdr:nvSpPr>
          <xdr:cNvPr id="179" name="Elipse 178">
            <a:extLst>
              <a:ext uri="{FF2B5EF4-FFF2-40B4-BE49-F238E27FC236}">
                <a16:creationId xmlns:a16="http://schemas.microsoft.com/office/drawing/2014/main" id="{62C5B04D-A9DB-B121-F031-965F1CE1DE2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80" name="CaixaDeTexto 179">
            <a:extLst>
              <a:ext uri="{FF2B5EF4-FFF2-40B4-BE49-F238E27FC236}">
                <a16:creationId xmlns:a16="http://schemas.microsoft.com/office/drawing/2014/main" id="{62F6BE74-D04E-344F-4F35-FF480D1F1C9E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50</xdr:row>
      <xdr:rowOff>216783</xdr:rowOff>
    </xdr:from>
    <xdr:to>
      <xdr:col>7</xdr:col>
      <xdr:colOff>725408</xdr:colOff>
      <xdr:row>51</xdr:row>
      <xdr:rowOff>220278</xdr:rowOff>
    </xdr:to>
    <xdr:grpSp>
      <xdr:nvGrpSpPr>
        <xdr:cNvPr id="181" name="Agrupar 180">
          <a:extLst>
            <a:ext uri="{FF2B5EF4-FFF2-40B4-BE49-F238E27FC236}">
              <a16:creationId xmlns:a16="http://schemas.microsoft.com/office/drawing/2014/main" id="{3402E593-194F-4F0C-A9A6-D710E38140DE}"/>
            </a:ext>
          </a:extLst>
        </xdr:cNvPr>
        <xdr:cNvGrpSpPr/>
      </xdr:nvGrpSpPr>
      <xdr:grpSpPr>
        <a:xfrm>
          <a:off x="7143692" y="11434132"/>
          <a:ext cx="182763" cy="225006"/>
          <a:chOff x="6572251" y="7477594"/>
          <a:chExt cx="223837" cy="280178"/>
        </a:xfrm>
      </xdr:grpSpPr>
      <xdr:sp macro="" textlink="">
        <xdr:nvSpPr>
          <xdr:cNvPr id="206" name="Elipse 205">
            <a:extLst>
              <a:ext uri="{FF2B5EF4-FFF2-40B4-BE49-F238E27FC236}">
                <a16:creationId xmlns:a16="http://schemas.microsoft.com/office/drawing/2014/main" id="{A1B529FC-5594-4424-5CB4-F4809C40E9F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07" name="CaixaDeTexto 206">
            <a:extLst>
              <a:ext uri="{FF2B5EF4-FFF2-40B4-BE49-F238E27FC236}">
                <a16:creationId xmlns:a16="http://schemas.microsoft.com/office/drawing/2014/main" id="{5EBE4F71-52DD-0E18-9C51-63AA6FB5EE0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51</xdr:row>
      <xdr:rowOff>208213</xdr:rowOff>
    </xdr:from>
    <xdr:to>
      <xdr:col>7</xdr:col>
      <xdr:colOff>205343</xdr:colOff>
      <xdr:row>52</xdr:row>
      <xdr:rowOff>210861</xdr:rowOff>
    </xdr:to>
    <xdr:grpSp>
      <xdr:nvGrpSpPr>
        <xdr:cNvPr id="224" name="Agrupar 223">
          <a:extLst>
            <a:ext uri="{FF2B5EF4-FFF2-40B4-BE49-F238E27FC236}">
              <a16:creationId xmlns:a16="http://schemas.microsoft.com/office/drawing/2014/main" id="{19A15860-47B8-4EBE-AB3B-087866ED0D04}"/>
            </a:ext>
          </a:extLst>
        </xdr:cNvPr>
        <xdr:cNvGrpSpPr/>
      </xdr:nvGrpSpPr>
      <xdr:grpSpPr>
        <a:xfrm>
          <a:off x="6623627" y="11647073"/>
          <a:ext cx="182763" cy="224160"/>
          <a:chOff x="6572251" y="7468545"/>
          <a:chExt cx="223837" cy="280178"/>
        </a:xfrm>
      </xdr:grpSpPr>
      <xdr:sp macro="" textlink="">
        <xdr:nvSpPr>
          <xdr:cNvPr id="225" name="Elipse 224">
            <a:extLst>
              <a:ext uri="{FF2B5EF4-FFF2-40B4-BE49-F238E27FC236}">
                <a16:creationId xmlns:a16="http://schemas.microsoft.com/office/drawing/2014/main" id="{8884326A-9350-0BCB-C4D6-DED3CBA3E5F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26" name="CaixaDeTexto 225">
            <a:extLst>
              <a:ext uri="{FF2B5EF4-FFF2-40B4-BE49-F238E27FC236}">
                <a16:creationId xmlns:a16="http://schemas.microsoft.com/office/drawing/2014/main" id="{8896F9D3-D8B8-7602-B8F1-B2524E87556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51</xdr:row>
      <xdr:rowOff>216783</xdr:rowOff>
    </xdr:from>
    <xdr:to>
      <xdr:col>7</xdr:col>
      <xdr:colOff>725408</xdr:colOff>
      <xdr:row>52</xdr:row>
      <xdr:rowOff>220278</xdr:rowOff>
    </xdr:to>
    <xdr:grpSp>
      <xdr:nvGrpSpPr>
        <xdr:cNvPr id="227" name="Agrupar 226">
          <a:extLst>
            <a:ext uri="{FF2B5EF4-FFF2-40B4-BE49-F238E27FC236}">
              <a16:creationId xmlns:a16="http://schemas.microsoft.com/office/drawing/2014/main" id="{7B2FF732-B8D6-4177-B049-CB8BBC1E74B7}"/>
            </a:ext>
          </a:extLst>
        </xdr:cNvPr>
        <xdr:cNvGrpSpPr/>
      </xdr:nvGrpSpPr>
      <xdr:grpSpPr>
        <a:xfrm>
          <a:off x="7143692" y="11655643"/>
          <a:ext cx="182763" cy="225007"/>
          <a:chOff x="6572251" y="7477594"/>
          <a:chExt cx="223837" cy="280178"/>
        </a:xfrm>
      </xdr:grpSpPr>
      <xdr:sp macro="" textlink="">
        <xdr:nvSpPr>
          <xdr:cNvPr id="228" name="Elipse 227">
            <a:extLst>
              <a:ext uri="{FF2B5EF4-FFF2-40B4-BE49-F238E27FC236}">
                <a16:creationId xmlns:a16="http://schemas.microsoft.com/office/drawing/2014/main" id="{43D27C9E-A879-43FA-1D0E-1E9739607A5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29" name="CaixaDeTexto 228">
            <a:extLst>
              <a:ext uri="{FF2B5EF4-FFF2-40B4-BE49-F238E27FC236}">
                <a16:creationId xmlns:a16="http://schemas.microsoft.com/office/drawing/2014/main" id="{C5C40F35-1F22-1164-739C-220770B950D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53</xdr:row>
      <xdr:rowOff>208213</xdr:rowOff>
    </xdr:from>
    <xdr:to>
      <xdr:col>7</xdr:col>
      <xdr:colOff>205343</xdr:colOff>
      <xdr:row>54</xdr:row>
      <xdr:rowOff>210861</xdr:rowOff>
    </xdr:to>
    <xdr:grpSp>
      <xdr:nvGrpSpPr>
        <xdr:cNvPr id="236" name="Agrupar 235">
          <a:extLst>
            <a:ext uri="{FF2B5EF4-FFF2-40B4-BE49-F238E27FC236}">
              <a16:creationId xmlns:a16="http://schemas.microsoft.com/office/drawing/2014/main" id="{C6015CBA-CD41-4970-875C-3A4B3A2DA135}"/>
            </a:ext>
          </a:extLst>
        </xdr:cNvPr>
        <xdr:cNvGrpSpPr/>
      </xdr:nvGrpSpPr>
      <xdr:grpSpPr>
        <a:xfrm>
          <a:off x="6623627" y="12090097"/>
          <a:ext cx="182763" cy="224159"/>
          <a:chOff x="6572251" y="7468545"/>
          <a:chExt cx="223837" cy="280178"/>
        </a:xfrm>
      </xdr:grpSpPr>
      <xdr:sp macro="" textlink="">
        <xdr:nvSpPr>
          <xdr:cNvPr id="237" name="Elipse 236">
            <a:extLst>
              <a:ext uri="{FF2B5EF4-FFF2-40B4-BE49-F238E27FC236}">
                <a16:creationId xmlns:a16="http://schemas.microsoft.com/office/drawing/2014/main" id="{3C38B741-136E-CAEF-26E1-69DB36177FC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38" name="CaixaDeTexto 237">
            <a:extLst>
              <a:ext uri="{FF2B5EF4-FFF2-40B4-BE49-F238E27FC236}">
                <a16:creationId xmlns:a16="http://schemas.microsoft.com/office/drawing/2014/main" id="{6C15EB9C-5747-F3BE-B784-05AE1A8E95D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53</xdr:row>
      <xdr:rowOff>216783</xdr:rowOff>
    </xdr:from>
    <xdr:to>
      <xdr:col>7</xdr:col>
      <xdr:colOff>725408</xdr:colOff>
      <xdr:row>54</xdr:row>
      <xdr:rowOff>220278</xdr:rowOff>
    </xdr:to>
    <xdr:grpSp>
      <xdr:nvGrpSpPr>
        <xdr:cNvPr id="239" name="Agrupar 238">
          <a:extLst>
            <a:ext uri="{FF2B5EF4-FFF2-40B4-BE49-F238E27FC236}">
              <a16:creationId xmlns:a16="http://schemas.microsoft.com/office/drawing/2014/main" id="{F9351AAA-0A03-4FAC-BC76-72EBEFB0AC2A}"/>
            </a:ext>
          </a:extLst>
        </xdr:cNvPr>
        <xdr:cNvGrpSpPr/>
      </xdr:nvGrpSpPr>
      <xdr:grpSpPr>
        <a:xfrm>
          <a:off x="7143692" y="12098667"/>
          <a:ext cx="182763" cy="225006"/>
          <a:chOff x="6572251" y="7477594"/>
          <a:chExt cx="223837" cy="280178"/>
        </a:xfrm>
      </xdr:grpSpPr>
      <xdr:sp macro="" textlink="">
        <xdr:nvSpPr>
          <xdr:cNvPr id="240" name="Elipse 239">
            <a:extLst>
              <a:ext uri="{FF2B5EF4-FFF2-40B4-BE49-F238E27FC236}">
                <a16:creationId xmlns:a16="http://schemas.microsoft.com/office/drawing/2014/main" id="{7C3229FB-FAA1-AD22-C25D-6E45D8B5DF9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356F9153-103B-5AAC-4713-18F8571D8B2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54</xdr:row>
      <xdr:rowOff>208213</xdr:rowOff>
    </xdr:from>
    <xdr:to>
      <xdr:col>7</xdr:col>
      <xdr:colOff>205343</xdr:colOff>
      <xdr:row>55</xdr:row>
      <xdr:rowOff>210861</xdr:rowOff>
    </xdr:to>
    <xdr:grpSp>
      <xdr:nvGrpSpPr>
        <xdr:cNvPr id="254" name="Agrupar 253">
          <a:extLst>
            <a:ext uri="{FF2B5EF4-FFF2-40B4-BE49-F238E27FC236}">
              <a16:creationId xmlns:a16="http://schemas.microsoft.com/office/drawing/2014/main" id="{7493BEC0-CB0C-4A4B-868D-A51604AF528A}"/>
            </a:ext>
          </a:extLst>
        </xdr:cNvPr>
        <xdr:cNvGrpSpPr/>
      </xdr:nvGrpSpPr>
      <xdr:grpSpPr>
        <a:xfrm>
          <a:off x="6623627" y="12311608"/>
          <a:ext cx="182763" cy="224160"/>
          <a:chOff x="6572251" y="7468545"/>
          <a:chExt cx="223837" cy="280178"/>
        </a:xfrm>
      </xdr:grpSpPr>
      <xdr:sp macro="" textlink="">
        <xdr:nvSpPr>
          <xdr:cNvPr id="255" name="Elipse 254">
            <a:extLst>
              <a:ext uri="{FF2B5EF4-FFF2-40B4-BE49-F238E27FC236}">
                <a16:creationId xmlns:a16="http://schemas.microsoft.com/office/drawing/2014/main" id="{7042E37F-75DB-34AF-9DC3-365A76A0526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56" name="CaixaDeTexto 255">
            <a:extLst>
              <a:ext uri="{FF2B5EF4-FFF2-40B4-BE49-F238E27FC236}">
                <a16:creationId xmlns:a16="http://schemas.microsoft.com/office/drawing/2014/main" id="{6A3EC76B-435B-8782-B17F-334BEF7CA5A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54</xdr:row>
      <xdr:rowOff>216783</xdr:rowOff>
    </xdr:from>
    <xdr:to>
      <xdr:col>7</xdr:col>
      <xdr:colOff>725408</xdr:colOff>
      <xdr:row>55</xdr:row>
      <xdr:rowOff>220278</xdr:rowOff>
    </xdr:to>
    <xdr:grpSp>
      <xdr:nvGrpSpPr>
        <xdr:cNvPr id="257" name="Agrupar 256">
          <a:extLst>
            <a:ext uri="{FF2B5EF4-FFF2-40B4-BE49-F238E27FC236}">
              <a16:creationId xmlns:a16="http://schemas.microsoft.com/office/drawing/2014/main" id="{58319BB1-0CC2-47F0-88A0-4A412576C7CC}"/>
            </a:ext>
          </a:extLst>
        </xdr:cNvPr>
        <xdr:cNvGrpSpPr/>
      </xdr:nvGrpSpPr>
      <xdr:grpSpPr>
        <a:xfrm>
          <a:off x="7143692" y="12320178"/>
          <a:ext cx="182763" cy="225007"/>
          <a:chOff x="6572251" y="7477594"/>
          <a:chExt cx="223837" cy="280178"/>
        </a:xfrm>
      </xdr:grpSpPr>
      <xdr:sp macro="" textlink="">
        <xdr:nvSpPr>
          <xdr:cNvPr id="258" name="Elipse 257">
            <a:extLst>
              <a:ext uri="{FF2B5EF4-FFF2-40B4-BE49-F238E27FC236}">
                <a16:creationId xmlns:a16="http://schemas.microsoft.com/office/drawing/2014/main" id="{855B4A09-3EB8-0D6B-45A6-6B748CAE884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59" name="CaixaDeTexto 258">
            <a:extLst>
              <a:ext uri="{FF2B5EF4-FFF2-40B4-BE49-F238E27FC236}">
                <a16:creationId xmlns:a16="http://schemas.microsoft.com/office/drawing/2014/main" id="{A4C71E6F-B042-1467-77DC-B8D57715C9A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56</xdr:row>
      <xdr:rowOff>208213</xdr:rowOff>
    </xdr:from>
    <xdr:to>
      <xdr:col>7</xdr:col>
      <xdr:colOff>205343</xdr:colOff>
      <xdr:row>57</xdr:row>
      <xdr:rowOff>210861</xdr:rowOff>
    </xdr:to>
    <xdr:grpSp>
      <xdr:nvGrpSpPr>
        <xdr:cNvPr id="260" name="Agrupar 259">
          <a:extLst>
            <a:ext uri="{FF2B5EF4-FFF2-40B4-BE49-F238E27FC236}">
              <a16:creationId xmlns:a16="http://schemas.microsoft.com/office/drawing/2014/main" id="{8917A072-3BCC-49E1-8942-1BBC9D7C89FD}"/>
            </a:ext>
          </a:extLst>
        </xdr:cNvPr>
        <xdr:cNvGrpSpPr/>
      </xdr:nvGrpSpPr>
      <xdr:grpSpPr>
        <a:xfrm>
          <a:off x="6623627" y="12754632"/>
          <a:ext cx="182763" cy="224159"/>
          <a:chOff x="6572251" y="7468545"/>
          <a:chExt cx="223837" cy="280178"/>
        </a:xfrm>
      </xdr:grpSpPr>
      <xdr:sp macro="" textlink="">
        <xdr:nvSpPr>
          <xdr:cNvPr id="261" name="Elipse 260">
            <a:extLst>
              <a:ext uri="{FF2B5EF4-FFF2-40B4-BE49-F238E27FC236}">
                <a16:creationId xmlns:a16="http://schemas.microsoft.com/office/drawing/2014/main" id="{FF4ADEAF-D455-7B84-7073-56C936711FF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62" name="CaixaDeTexto 261">
            <a:extLst>
              <a:ext uri="{FF2B5EF4-FFF2-40B4-BE49-F238E27FC236}">
                <a16:creationId xmlns:a16="http://schemas.microsoft.com/office/drawing/2014/main" id="{24C7C113-DA6F-F96A-B709-C6602BC6580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56</xdr:row>
      <xdr:rowOff>216783</xdr:rowOff>
    </xdr:from>
    <xdr:to>
      <xdr:col>7</xdr:col>
      <xdr:colOff>725408</xdr:colOff>
      <xdr:row>57</xdr:row>
      <xdr:rowOff>220278</xdr:rowOff>
    </xdr:to>
    <xdr:grpSp>
      <xdr:nvGrpSpPr>
        <xdr:cNvPr id="263" name="Agrupar 262">
          <a:extLst>
            <a:ext uri="{FF2B5EF4-FFF2-40B4-BE49-F238E27FC236}">
              <a16:creationId xmlns:a16="http://schemas.microsoft.com/office/drawing/2014/main" id="{09CC503C-BB4A-4628-A539-10B08C1655CE}"/>
            </a:ext>
          </a:extLst>
        </xdr:cNvPr>
        <xdr:cNvGrpSpPr/>
      </xdr:nvGrpSpPr>
      <xdr:grpSpPr>
        <a:xfrm>
          <a:off x="7143692" y="12763202"/>
          <a:ext cx="182763" cy="225006"/>
          <a:chOff x="6572251" y="7477594"/>
          <a:chExt cx="223837" cy="280178"/>
        </a:xfrm>
      </xdr:grpSpPr>
      <xdr:sp macro="" textlink="">
        <xdr:nvSpPr>
          <xdr:cNvPr id="264" name="Elipse 263">
            <a:extLst>
              <a:ext uri="{FF2B5EF4-FFF2-40B4-BE49-F238E27FC236}">
                <a16:creationId xmlns:a16="http://schemas.microsoft.com/office/drawing/2014/main" id="{DC4BCE2B-E194-A4D7-9AE7-06B0CAF03803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65" name="CaixaDeTexto 264">
            <a:extLst>
              <a:ext uri="{FF2B5EF4-FFF2-40B4-BE49-F238E27FC236}">
                <a16:creationId xmlns:a16="http://schemas.microsoft.com/office/drawing/2014/main" id="{A0E538F3-63BE-792B-3110-B60E6EC86D6D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52</xdr:row>
      <xdr:rowOff>208213</xdr:rowOff>
    </xdr:from>
    <xdr:to>
      <xdr:col>7</xdr:col>
      <xdr:colOff>205343</xdr:colOff>
      <xdr:row>53</xdr:row>
      <xdr:rowOff>210861</xdr:rowOff>
    </xdr:to>
    <xdr:grpSp>
      <xdr:nvGrpSpPr>
        <xdr:cNvPr id="310" name="Agrupar 309">
          <a:extLst>
            <a:ext uri="{FF2B5EF4-FFF2-40B4-BE49-F238E27FC236}">
              <a16:creationId xmlns:a16="http://schemas.microsoft.com/office/drawing/2014/main" id="{3344732A-3A09-4AF4-87BE-809ADD5EEFC8}"/>
            </a:ext>
          </a:extLst>
        </xdr:cNvPr>
        <xdr:cNvGrpSpPr/>
      </xdr:nvGrpSpPr>
      <xdr:grpSpPr>
        <a:xfrm>
          <a:off x="6623627" y="11868585"/>
          <a:ext cx="182763" cy="224160"/>
          <a:chOff x="6572251" y="7468545"/>
          <a:chExt cx="223837" cy="280178"/>
        </a:xfrm>
      </xdr:grpSpPr>
      <xdr:sp macro="" textlink="">
        <xdr:nvSpPr>
          <xdr:cNvPr id="311" name="Elipse 310">
            <a:extLst>
              <a:ext uri="{FF2B5EF4-FFF2-40B4-BE49-F238E27FC236}">
                <a16:creationId xmlns:a16="http://schemas.microsoft.com/office/drawing/2014/main" id="{7E3D0299-67DE-CEAD-4307-9CAFF157D76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12" name="CaixaDeTexto 311">
            <a:extLst>
              <a:ext uri="{FF2B5EF4-FFF2-40B4-BE49-F238E27FC236}">
                <a16:creationId xmlns:a16="http://schemas.microsoft.com/office/drawing/2014/main" id="{85386D0D-7099-3D72-D628-314D25202F54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52</xdr:row>
      <xdr:rowOff>216783</xdr:rowOff>
    </xdr:from>
    <xdr:to>
      <xdr:col>7</xdr:col>
      <xdr:colOff>725408</xdr:colOff>
      <xdr:row>53</xdr:row>
      <xdr:rowOff>220278</xdr:rowOff>
    </xdr:to>
    <xdr:grpSp>
      <xdr:nvGrpSpPr>
        <xdr:cNvPr id="313" name="Agrupar 312">
          <a:extLst>
            <a:ext uri="{FF2B5EF4-FFF2-40B4-BE49-F238E27FC236}">
              <a16:creationId xmlns:a16="http://schemas.microsoft.com/office/drawing/2014/main" id="{422DF917-308C-4959-AA46-4F6C612724AE}"/>
            </a:ext>
          </a:extLst>
        </xdr:cNvPr>
        <xdr:cNvGrpSpPr/>
      </xdr:nvGrpSpPr>
      <xdr:grpSpPr>
        <a:xfrm>
          <a:off x="7143692" y="11877155"/>
          <a:ext cx="182763" cy="225007"/>
          <a:chOff x="6572251" y="7477594"/>
          <a:chExt cx="223837" cy="280178"/>
        </a:xfrm>
      </xdr:grpSpPr>
      <xdr:sp macro="" textlink="">
        <xdr:nvSpPr>
          <xdr:cNvPr id="314" name="Elipse 313">
            <a:extLst>
              <a:ext uri="{FF2B5EF4-FFF2-40B4-BE49-F238E27FC236}">
                <a16:creationId xmlns:a16="http://schemas.microsoft.com/office/drawing/2014/main" id="{9CDDB08B-3E26-14CD-6D48-19D518EA23BB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15" name="CaixaDeTexto 314">
            <a:extLst>
              <a:ext uri="{FF2B5EF4-FFF2-40B4-BE49-F238E27FC236}">
                <a16:creationId xmlns:a16="http://schemas.microsoft.com/office/drawing/2014/main" id="{B62B379A-9056-1DBD-6A52-BB282CE150D8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7</xdr:col>
      <xdr:colOff>22580</xdr:colOff>
      <xdr:row>57</xdr:row>
      <xdr:rowOff>208213</xdr:rowOff>
    </xdr:from>
    <xdr:to>
      <xdr:col>7</xdr:col>
      <xdr:colOff>205343</xdr:colOff>
      <xdr:row>58</xdr:row>
      <xdr:rowOff>210861</xdr:rowOff>
    </xdr:to>
    <xdr:grpSp>
      <xdr:nvGrpSpPr>
        <xdr:cNvPr id="322" name="Agrupar 321">
          <a:extLst>
            <a:ext uri="{FF2B5EF4-FFF2-40B4-BE49-F238E27FC236}">
              <a16:creationId xmlns:a16="http://schemas.microsoft.com/office/drawing/2014/main" id="{AEA6EACF-2F29-485D-9382-B431C7B8143E}"/>
            </a:ext>
          </a:extLst>
        </xdr:cNvPr>
        <xdr:cNvGrpSpPr/>
      </xdr:nvGrpSpPr>
      <xdr:grpSpPr>
        <a:xfrm>
          <a:off x="6623627" y="12976143"/>
          <a:ext cx="182763" cy="224160"/>
          <a:chOff x="6572251" y="7468545"/>
          <a:chExt cx="223837" cy="280178"/>
        </a:xfrm>
      </xdr:grpSpPr>
      <xdr:sp macro="" textlink="">
        <xdr:nvSpPr>
          <xdr:cNvPr id="323" name="Elipse 322">
            <a:extLst>
              <a:ext uri="{FF2B5EF4-FFF2-40B4-BE49-F238E27FC236}">
                <a16:creationId xmlns:a16="http://schemas.microsoft.com/office/drawing/2014/main" id="{49637B14-FA54-D18E-5B60-D43EC730330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324" name="CaixaDeTexto 323">
            <a:extLst>
              <a:ext uri="{FF2B5EF4-FFF2-40B4-BE49-F238E27FC236}">
                <a16:creationId xmlns:a16="http://schemas.microsoft.com/office/drawing/2014/main" id="{0F9DB3B1-08E6-BBBE-436D-FDC1497A70B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7</xdr:col>
      <xdr:colOff>542645</xdr:colOff>
      <xdr:row>57</xdr:row>
      <xdr:rowOff>216783</xdr:rowOff>
    </xdr:from>
    <xdr:to>
      <xdr:col>7</xdr:col>
      <xdr:colOff>725408</xdr:colOff>
      <xdr:row>58</xdr:row>
      <xdr:rowOff>220278</xdr:rowOff>
    </xdr:to>
    <xdr:grpSp>
      <xdr:nvGrpSpPr>
        <xdr:cNvPr id="325" name="Agrupar 324">
          <a:extLst>
            <a:ext uri="{FF2B5EF4-FFF2-40B4-BE49-F238E27FC236}">
              <a16:creationId xmlns:a16="http://schemas.microsoft.com/office/drawing/2014/main" id="{2A03EC5E-E547-4014-9459-0C8FDA988AFA}"/>
            </a:ext>
          </a:extLst>
        </xdr:cNvPr>
        <xdr:cNvGrpSpPr/>
      </xdr:nvGrpSpPr>
      <xdr:grpSpPr>
        <a:xfrm>
          <a:off x="7143692" y="12984713"/>
          <a:ext cx="182763" cy="225007"/>
          <a:chOff x="6572251" y="7477594"/>
          <a:chExt cx="223837" cy="280178"/>
        </a:xfrm>
      </xdr:grpSpPr>
      <xdr:sp macro="" textlink="">
        <xdr:nvSpPr>
          <xdr:cNvPr id="326" name="Elipse 325">
            <a:extLst>
              <a:ext uri="{FF2B5EF4-FFF2-40B4-BE49-F238E27FC236}">
                <a16:creationId xmlns:a16="http://schemas.microsoft.com/office/drawing/2014/main" id="{0D637097-0876-0579-5A89-095D70436860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327" name="CaixaDeTexto 326">
            <a:extLst>
              <a:ext uri="{FF2B5EF4-FFF2-40B4-BE49-F238E27FC236}">
                <a16:creationId xmlns:a16="http://schemas.microsoft.com/office/drawing/2014/main" id="{7334CDB2-9A66-78D6-435C-884F4B2794EE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22580</xdr:colOff>
      <xdr:row>5</xdr:row>
      <xdr:rowOff>208213</xdr:rowOff>
    </xdr:from>
    <xdr:to>
      <xdr:col>4</xdr:col>
      <xdr:colOff>205343</xdr:colOff>
      <xdr:row>6</xdr:row>
      <xdr:rowOff>210861</xdr:rowOff>
    </xdr:to>
    <xdr:grpSp>
      <xdr:nvGrpSpPr>
        <xdr:cNvPr id="200" name="Agrupar 199">
          <a:extLst>
            <a:ext uri="{FF2B5EF4-FFF2-40B4-BE49-F238E27FC236}">
              <a16:creationId xmlns:a16="http://schemas.microsoft.com/office/drawing/2014/main" id="{A3749D59-D898-454A-85AE-6BC8354B8ABD}"/>
            </a:ext>
          </a:extLst>
        </xdr:cNvPr>
        <xdr:cNvGrpSpPr/>
      </xdr:nvGrpSpPr>
      <xdr:grpSpPr>
        <a:xfrm>
          <a:off x="3601671" y="1470516"/>
          <a:ext cx="182763" cy="225860"/>
          <a:chOff x="6572251" y="7468545"/>
          <a:chExt cx="223837" cy="280178"/>
        </a:xfrm>
      </xdr:grpSpPr>
      <xdr:sp macro="" textlink="">
        <xdr:nvSpPr>
          <xdr:cNvPr id="201" name="Elipse 200">
            <a:extLst>
              <a:ext uri="{FF2B5EF4-FFF2-40B4-BE49-F238E27FC236}">
                <a16:creationId xmlns:a16="http://schemas.microsoft.com/office/drawing/2014/main" id="{5D79CE92-DD00-CB7A-9F58-F9DACF9E1B3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02" name="CaixaDeTexto 201">
            <a:extLst>
              <a:ext uri="{FF2B5EF4-FFF2-40B4-BE49-F238E27FC236}">
                <a16:creationId xmlns:a16="http://schemas.microsoft.com/office/drawing/2014/main" id="{9757FAA5-F12A-0E9C-098A-A4D3CD4B72DD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5</xdr:row>
      <xdr:rowOff>216783</xdr:rowOff>
    </xdr:from>
    <xdr:to>
      <xdr:col>4</xdr:col>
      <xdr:colOff>725408</xdr:colOff>
      <xdr:row>6</xdr:row>
      <xdr:rowOff>220278</xdr:rowOff>
    </xdr:to>
    <xdr:grpSp>
      <xdr:nvGrpSpPr>
        <xdr:cNvPr id="203" name="Agrupar 202">
          <a:extLst>
            <a:ext uri="{FF2B5EF4-FFF2-40B4-BE49-F238E27FC236}">
              <a16:creationId xmlns:a16="http://schemas.microsoft.com/office/drawing/2014/main" id="{FA2C8FAA-5370-4FAC-A342-7F0E11D455DF}"/>
            </a:ext>
          </a:extLst>
        </xdr:cNvPr>
        <xdr:cNvGrpSpPr/>
      </xdr:nvGrpSpPr>
      <xdr:grpSpPr>
        <a:xfrm>
          <a:off x="4121736" y="1479086"/>
          <a:ext cx="182763" cy="226707"/>
          <a:chOff x="6572251" y="7477594"/>
          <a:chExt cx="223837" cy="280178"/>
        </a:xfrm>
      </xdr:grpSpPr>
      <xdr:sp macro="" textlink="">
        <xdr:nvSpPr>
          <xdr:cNvPr id="204" name="Elipse 203">
            <a:extLst>
              <a:ext uri="{FF2B5EF4-FFF2-40B4-BE49-F238E27FC236}">
                <a16:creationId xmlns:a16="http://schemas.microsoft.com/office/drawing/2014/main" id="{FDD6FD45-22E6-76D5-28BB-EF53E046D0E8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05" name="CaixaDeTexto 204">
            <a:extLst>
              <a:ext uri="{FF2B5EF4-FFF2-40B4-BE49-F238E27FC236}">
                <a16:creationId xmlns:a16="http://schemas.microsoft.com/office/drawing/2014/main" id="{E49B0BA9-93D0-3312-8748-13E1EF9A243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22580</xdr:colOff>
      <xdr:row>6</xdr:row>
      <xdr:rowOff>208213</xdr:rowOff>
    </xdr:from>
    <xdr:to>
      <xdr:col>4</xdr:col>
      <xdr:colOff>205343</xdr:colOff>
      <xdr:row>7</xdr:row>
      <xdr:rowOff>210861</xdr:rowOff>
    </xdr:to>
    <xdr:grpSp>
      <xdr:nvGrpSpPr>
        <xdr:cNvPr id="206" name="Agrupar 205">
          <a:extLst>
            <a:ext uri="{FF2B5EF4-FFF2-40B4-BE49-F238E27FC236}">
              <a16:creationId xmlns:a16="http://schemas.microsoft.com/office/drawing/2014/main" id="{E22AFF34-34F7-4DAD-B477-5D6C613CD584}"/>
            </a:ext>
          </a:extLst>
        </xdr:cNvPr>
        <xdr:cNvGrpSpPr/>
      </xdr:nvGrpSpPr>
      <xdr:grpSpPr>
        <a:xfrm>
          <a:off x="3601671" y="1693728"/>
          <a:ext cx="182763" cy="225860"/>
          <a:chOff x="6572251" y="7468545"/>
          <a:chExt cx="223837" cy="280178"/>
        </a:xfrm>
      </xdr:grpSpPr>
      <xdr:sp macro="" textlink="">
        <xdr:nvSpPr>
          <xdr:cNvPr id="207" name="Elipse 206">
            <a:extLst>
              <a:ext uri="{FF2B5EF4-FFF2-40B4-BE49-F238E27FC236}">
                <a16:creationId xmlns:a16="http://schemas.microsoft.com/office/drawing/2014/main" id="{9C577923-68FF-A4C3-E385-2340A42CB01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08" name="CaixaDeTexto 207">
            <a:extLst>
              <a:ext uri="{FF2B5EF4-FFF2-40B4-BE49-F238E27FC236}">
                <a16:creationId xmlns:a16="http://schemas.microsoft.com/office/drawing/2014/main" id="{3D19D448-774A-05D4-1F10-C8E71DDD30A6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6</xdr:row>
      <xdr:rowOff>216783</xdr:rowOff>
    </xdr:from>
    <xdr:to>
      <xdr:col>4</xdr:col>
      <xdr:colOff>725408</xdr:colOff>
      <xdr:row>7</xdr:row>
      <xdr:rowOff>220278</xdr:rowOff>
    </xdr:to>
    <xdr:grpSp>
      <xdr:nvGrpSpPr>
        <xdr:cNvPr id="209" name="Agrupar 208">
          <a:extLst>
            <a:ext uri="{FF2B5EF4-FFF2-40B4-BE49-F238E27FC236}">
              <a16:creationId xmlns:a16="http://schemas.microsoft.com/office/drawing/2014/main" id="{6CC058D4-4E59-4816-83F9-5B905750F1D3}"/>
            </a:ext>
          </a:extLst>
        </xdr:cNvPr>
        <xdr:cNvGrpSpPr/>
      </xdr:nvGrpSpPr>
      <xdr:grpSpPr>
        <a:xfrm>
          <a:off x="4121736" y="1702298"/>
          <a:ext cx="182763" cy="226707"/>
          <a:chOff x="6572251" y="7477594"/>
          <a:chExt cx="223837" cy="280178"/>
        </a:xfrm>
      </xdr:grpSpPr>
      <xdr:sp macro="" textlink="">
        <xdr:nvSpPr>
          <xdr:cNvPr id="210" name="Elipse 209">
            <a:extLst>
              <a:ext uri="{FF2B5EF4-FFF2-40B4-BE49-F238E27FC236}">
                <a16:creationId xmlns:a16="http://schemas.microsoft.com/office/drawing/2014/main" id="{3D57C072-211A-ADB1-CE45-C73CE4CE4D0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11" name="CaixaDeTexto 210">
            <a:extLst>
              <a:ext uri="{FF2B5EF4-FFF2-40B4-BE49-F238E27FC236}">
                <a16:creationId xmlns:a16="http://schemas.microsoft.com/office/drawing/2014/main" id="{F431BAF4-8117-E420-1706-DFAC1B823716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22580</xdr:colOff>
      <xdr:row>7</xdr:row>
      <xdr:rowOff>208213</xdr:rowOff>
    </xdr:from>
    <xdr:to>
      <xdr:col>4</xdr:col>
      <xdr:colOff>205343</xdr:colOff>
      <xdr:row>8</xdr:row>
      <xdr:rowOff>210861</xdr:rowOff>
    </xdr:to>
    <xdr:grpSp>
      <xdr:nvGrpSpPr>
        <xdr:cNvPr id="212" name="Agrupar 211">
          <a:extLst>
            <a:ext uri="{FF2B5EF4-FFF2-40B4-BE49-F238E27FC236}">
              <a16:creationId xmlns:a16="http://schemas.microsoft.com/office/drawing/2014/main" id="{84D20011-0FCF-405E-99E5-55A409055EEF}"/>
            </a:ext>
          </a:extLst>
        </xdr:cNvPr>
        <xdr:cNvGrpSpPr/>
      </xdr:nvGrpSpPr>
      <xdr:grpSpPr>
        <a:xfrm>
          <a:off x="3601671" y="1916940"/>
          <a:ext cx="182763" cy="225860"/>
          <a:chOff x="6572251" y="7468545"/>
          <a:chExt cx="223837" cy="280178"/>
        </a:xfrm>
      </xdr:grpSpPr>
      <xdr:sp macro="" textlink="">
        <xdr:nvSpPr>
          <xdr:cNvPr id="213" name="Elipse 212">
            <a:extLst>
              <a:ext uri="{FF2B5EF4-FFF2-40B4-BE49-F238E27FC236}">
                <a16:creationId xmlns:a16="http://schemas.microsoft.com/office/drawing/2014/main" id="{58C316F3-CE04-2481-6FEE-BB805D7729A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14" name="CaixaDeTexto 213">
            <a:extLst>
              <a:ext uri="{FF2B5EF4-FFF2-40B4-BE49-F238E27FC236}">
                <a16:creationId xmlns:a16="http://schemas.microsoft.com/office/drawing/2014/main" id="{C88C058C-1821-FBC2-B48A-FF1FBD66D3A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7</xdr:row>
      <xdr:rowOff>216783</xdr:rowOff>
    </xdr:from>
    <xdr:to>
      <xdr:col>4</xdr:col>
      <xdr:colOff>725408</xdr:colOff>
      <xdr:row>8</xdr:row>
      <xdr:rowOff>220278</xdr:rowOff>
    </xdr:to>
    <xdr:grpSp>
      <xdr:nvGrpSpPr>
        <xdr:cNvPr id="215" name="Agrupar 214">
          <a:extLst>
            <a:ext uri="{FF2B5EF4-FFF2-40B4-BE49-F238E27FC236}">
              <a16:creationId xmlns:a16="http://schemas.microsoft.com/office/drawing/2014/main" id="{FDF4B010-AE49-471C-BABD-B03D2CC84301}"/>
            </a:ext>
          </a:extLst>
        </xdr:cNvPr>
        <xdr:cNvGrpSpPr/>
      </xdr:nvGrpSpPr>
      <xdr:grpSpPr>
        <a:xfrm>
          <a:off x="4121736" y="1925510"/>
          <a:ext cx="182763" cy="226707"/>
          <a:chOff x="6572251" y="7477594"/>
          <a:chExt cx="223837" cy="280178"/>
        </a:xfrm>
      </xdr:grpSpPr>
      <xdr:sp macro="" textlink="">
        <xdr:nvSpPr>
          <xdr:cNvPr id="216" name="Elipse 215">
            <a:extLst>
              <a:ext uri="{FF2B5EF4-FFF2-40B4-BE49-F238E27FC236}">
                <a16:creationId xmlns:a16="http://schemas.microsoft.com/office/drawing/2014/main" id="{38E9CDF8-1CDB-27AA-22DA-092464E7FC2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17" name="CaixaDeTexto 216">
            <a:extLst>
              <a:ext uri="{FF2B5EF4-FFF2-40B4-BE49-F238E27FC236}">
                <a16:creationId xmlns:a16="http://schemas.microsoft.com/office/drawing/2014/main" id="{2D2D822C-2131-D6D6-BEA6-9DD7355DB6E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22580</xdr:colOff>
      <xdr:row>4</xdr:row>
      <xdr:rowOff>208213</xdr:rowOff>
    </xdr:from>
    <xdr:to>
      <xdr:col>4</xdr:col>
      <xdr:colOff>205343</xdr:colOff>
      <xdr:row>5</xdr:row>
      <xdr:rowOff>210861</xdr:rowOff>
    </xdr:to>
    <xdr:grpSp>
      <xdr:nvGrpSpPr>
        <xdr:cNvPr id="218" name="Agrupar 217">
          <a:extLst>
            <a:ext uri="{FF2B5EF4-FFF2-40B4-BE49-F238E27FC236}">
              <a16:creationId xmlns:a16="http://schemas.microsoft.com/office/drawing/2014/main" id="{BC1BF76B-E532-4047-8F0B-B14A8CDEFB1B}"/>
            </a:ext>
          </a:extLst>
        </xdr:cNvPr>
        <xdr:cNvGrpSpPr/>
      </xdr:nvGrpSpPr>
      <xdr:grpSpPr>
        <a:xfrm>
          <a:off x="3601671" y="1247304"/>
          <a:ext cx="182763" cy="225860"/>
          <a:chOff x="6572251" y="7468545"/>
          <a:chExt cx="223837" cy="280178"/>
        </a:xfrm>
      </xdr:grpSpPr>
      <xdr:sp macro="" textlink="">
        <xdr:nvSpPr>
          <xdr:cNvPr id="219" name="Elipse 218">
            <a:extLst>
              <a:ext uri="{FF2B5EF4-FFF2-40B4-BE49-F238E27FC236}">
                <a16:creationId xmlns:a16="http://schemas.microsoft.com/office/drawing/2014/main" id="{FC1E2D8D-FCEB-A5DB-1400-87B96BED00AE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20" name="CaixaDeTexto 219">
            <a:extLst>
              <a:ext uri="{FF2B5EF4-FFF2-40B4-BE49-F238E27FC236}">
                <a16:creationId xmlns:a16="http://schemas.microsoft.com/office/drawing/2014/main" id="{0D0006A1-41B5-561F-6D35-277F4F95CC85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4</xdr:row>
      <xdr:rowOff>216783</xdr:rowOff>
    </xdr:from>
    <xdr:to>
      <xdr:col>4</xdr:col>
      <xdr:colOff>725408</xdr:colOff>
      <xdr:row>5</xdr:row>
      <xdr:rowOff>220278</xdr:rowOff>
    </xdr:to>
    <xdr:grpSp>
      <xdr:nvGrpSpPr>
        <xdr:cNvPr id="221" name="Agrupar 220">
          <a:extLst>
            <a:ext uri="{FF2B5EF4-FFF2-40B4-BE49-F238E27FC236}">
              <a16:creationId xmlns:a16="http://schemas.microsoft.com/office/drawing/2014/main" id="{C3F6041F-7300-4460-8864-400C974BEBE0}"/>
            </a:ext>
          </a:extLst>
        </xdr:cNvPr>
        <xdr:cNvGrpSpPr/>
      </xdr:nvGrpSpPr>
      <xdr:grpSpPr>
        <a:xfrm>
          <a:off x="4121736" y="1255874"/>
          <a:ext cx="182763" cy="226707"/>
          <a:chOff x="6572251" y="7477594"/>
          <a:chExt cx="223837" cy="280178"/>
        </a:xfrm>
      </xdr:grpSpPr>
      <xdr:sp macro="" textlink="">
        <xdr:nvSpPr>
          <xdr:cNvPr id="222" name="Elipse 221">
            <a:extLst>
              <a:ext uri="{FF2B5EF4-FFF2-40B4-BE49-F238E27FC236}">
                <a16:creationId xmlns:a16="http://schemas.microsoft.com/office/drawing/2014/main" id="{6E68E376-77AF-ACFE-CA52-D42F1854094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23" name="CaixaDeTexto 222">
            <a:extLst>
              <a:ext uri="{FF2B5EF4-FFF2-40B4-BE49-F238E27FC236}">
                <a16:creationId xmlns:a16="http://schemas.microsoft.com/office/drawing/2014/main" id="{31C88766-A849-1B0B-3E40-F4FF60E69D73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25455</xdr:colOff>
      <xdr:row>3</xdr:row>
      <xdr:rowOff>351987</xdr:rowOff>
    </xdr:from>
    <xdr:to>
      <xdr:col>4</xdr:col>
      <xdr:colOff>208218</xdr:colOff>
      <xdr:row>4</xdr:row>
      <xdr:rowOff>210861</xdr:rowOff>
    </xdr:to>
    <xdr:grpSp>
      <xdr:nvGrpSpPr>
        <xdr:cNvPr id="256" name="Agrupar 255">
          <a:extLst>
            <a:ext uri="{FF2B5EF4-FFF2-40B4-BE49-F238E27FC236}">
              <a16:creationId xmlns:a16="http://schemas.microsoft.com/office/drawing/2014/main" id="{AECF83D7-4F6E-3CB9-820A-091F7DA8D772}"/>
            </a:ext>
          </a:extLst>
        </xdr:cNvPr>
        <xdr:cNvGrpSpPr/>
      </xdr:nvGrpSpPr>
      <xdr:grpSpPr>
        <a:xfrm>
          <a:off x="3604546" y="1021623"/>
          <a:ext cx="182763" cy="228329"/>
          <a:chOff x="6572251" y="7468545"/>
          <a:chExt cx="223837" cy="280178"/>
        </a:xfrm>
      </xdr:grpSpPr>
      <xdr:sp macro="" textlink="">
        <xdr:nvSpPr>
          <xdr:cNvPr id="257" name="Elipse 256">
            <a:extLst>
              <a:ext uri="{FF2B5EF4-FFF2-40B4-BE49-F238E27FC236}">
                <a16:creationId xmlns:a16="http://schemas.microsoft.com/office/drawing/2014/main" id="{7211C5FC-FEFC-D832-0985-15983AA667D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258" name="CaixaDeTexto 257">
            <a:extLst>
              <a:ext uri="{FF2B5EF4-FFF2-40B4-BE49-F238E27FC236}">
                <a16:creationId xmlns:a16="http://schemas.microsoft.com/office/drawing/2014/main" id="{E5843649-443A-7DE3-A3AA-596A94126720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3</xdr:row>
      <xdr:rowOff>360556</xdr:rowOff>
    </xdr:from>
    <xdr:to>
      <xdr:col>4</xdr:col>
      <xdr:colOff>725408</xdr:colOff>
      <xdr:row>4</xdr:row>
      <xdr:rowOff>220277</xdr:rowOff>
    </xdr:to>
    <xdr:grpSp>
      <xdr:nvGrpSpPr>
        <xdr:cNvPr id="259" name="Agrupar 258">
          <a:extLst>
            <a:ext uri="{FF2B5EF4-FFF2-40B4-BE49-F238E27FC236}">
              <a16:creationId xmlns:a16="http://schemas.microsoft.com/office/drawing/2014/main" id="{14BEFDDA-D100-7562-A084-E573ADAE35D1}"/>
            </a:ext>
          </a:extLst>
        </xdr:cNvPr>
        <xdr:cNvGrpSpPr/>
      </xdr:nvGrpSpPr>
      <xdr:grpSpPr>
        <a:xfrm>
          <a:off x="4121736" y="1030192"/>
          <a:ext cx="182763" cy="229176"/>
          <a:chOff x="6572251" y="7477594"/>
          <a:chExt cx="223837" cy="280178"/>
        </a:xfrm>
      </xdr:grpSpPr>
      <xdr:sp macro="" textlink="">
        <xdr:nvSpPr>
          <xdr:cNvPr id="260" name="Elipse 259">
            <a:extLst>
              <a:ext uri="{FF2B5EF4-FFF2-40B4-BE49-F238E27FC236}">
                <a16:creationId xmlns:a16="http://schemas.microsoft.com/office/drawing/2014/main" id="{62F0E159-FE38-A267-ABE9-3B0D0398CB0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261" name="CaixaDeTexto 260">
            <a:extLst>
              <a:ext uri="{FF2B5EF4-FFF2-40B4-BE49-F238E27FC236}">
                <a16:creationId xmlns:a16="http://schemas.microsoft.com/office/drawing/2014/main" id="{349EB118-1964-D791-7123-370C19087FA9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22580</xdr:colOff>
      <xdr:row>10</xdr:row>
      <xdr:rowOff>208213</xdr:rowOff>
    </xdr:from>
    <xdr:to>
      <xdr:col>4</xdr:col>
      <xdr:colOff>205343</xdr:colOff>
      <xdr:row>11</xdr:row>
      <xdr:rowOff>210861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58EA899-E96A-478F-909E-1BDB93A27523}"/>
            </a:ext>
          </a:extLst>
        </xdr:cNvPr>
        <xdr:cNvGrpSpPr/>
      </xdr:nvGrpSpPr>
      <xdr:grpSpPr>
        <a:xfrm>
          <a:off x="3601671" y="2586577"/>
          <a:ext cx="182763" cy="225860"/>
          <a:chOff x="6572251" y="7468545"/>
          <a:chExt cx="223837" cy="280178"/>
        </a:xfrm>
      </xdr:grpSpPr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0B164550-6109-E5EF-43FB-5929C53FAB19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6934EBD4-19D8-9BBD-4224-E6D4BFF72519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10</xdr:row>
      <xdr:rowOff>216783</xdr:rowOff>
    </xdr:from>
    <xdr:to>
      <xdr:col>4</xdr:col>
      <xdr:colOff>725408</xdr:colOff>
      <xdr:row>12</xdr:row>
      <xdr:rowOff>1802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5C7AB80-04BB-4DC7-9310-13E11FDC051B}"/>
            </a:ext>
          </a:extLst>
        </xdr:cNvPr>
        <xdr:cNvGrpSpPr/>
      </xdr:nvGrpSpPr>
      <xdr:grpSpPr>
        <a:xfrm>
          <a:off x="4121736" y="2595147"/>
          <a:ext cx="182763" cy="231443"/>
          <a:chOff x="6572251" y="7477594"/>
          <a:chExt cx="223837" cy="280178"/>
        </a:xfrm>
      </xdr:grpSpPr>
      <xdr:sp macro="" textlink="">
        <xdr:nvSpPr>
          <xdr:cNvPr id="6" name="Elipse 5">
            <a:extLst>
              <a:ext uri="{FF2B5EF4-FFF2-40B4-BE49-F238E27FC236}">
                <a16:creationId xmlns:a16="http://schemas.microsoft.com/office/drawing/2014/main" id="{AB3F59FF-966F-6C46-560D-A0B1ECA0CE9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71C28CE3-A18E-F095-D3E8-F5CD0E1359A5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22580</xdr:colOff>
      <xdr:row>12</xdr:row>
      <xdr:rowOff>208213</xdr:rowOff>
    </xdr:from>
    <xdr:to>
      <xdr:col>4</xdr:col>
      <xdr:colOff>205343</xdr:colOff>
      <xdr:row>13</xdr:row>
      <xdr:rowOff>210861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F4DCB80-E301-4D2B-8708-3173B0DAA380}"/>
            </a:ext>
          </a:extLst>
        </xdr:cNvPr>
        <xdr:cNvGrpSpPr/>
      </xdr:nvGrpSpPr>
      <xdr:grpSpPr>
        <a:xfrm>
          <a:off x="3601671" y="3033001"/>
          <a:ext cx="182763" cy="225860"/>
          <a:chOff x="6572251" y="7468545"/>
          <a:chExt cx="223837" cy="280178"/>
        </a:xfrm>
      </xdr:grpSpPr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195CE850-57FA-7ED0-74C1-F0658BCF76AA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65CF02A1-B3B4-7F7A-F9C9-88533CF4503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12</xdr:row>
      <xdr:rowOff>216783</xdr:rowOff>
    </xdr:from>
    <xdr:to>
      <xdr:col>4</xdr:col>
      <xdr:colOff>725408</xdr:colOff>
      <xdr:row>14</xdr:row>
      <xdr:rowOff>1803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71F3702D-331C-4080-A032-A51876B15E2A}"/>
            </a:ext>
          </a:extLst>
        </xdr:cNvPr>
        <xdr:cNvGrpSpPr/>
      </xdr:nvGrpSpPr>
      <xdr:grpSpPr>
        <a:xfrm>
          <a:off x="4121736" y="3041571"/>
          <a:ext cx="182763" cy="231444"/>
          <a:chOff x="6572251" y="7477594"/>
          <a:chExt cx="223837" cy="280178"/>
        </a:xfrm>
      </xdr:grpSpPr>
      <xdr:sp macro="" textlink="">
        <xdr:nvSpPr>
          <xdr:cNvPr id="12" name="Elipse 11">
            <a:extLst>
              <a:ext uri="{FF2B5EF4-FFF2-40B4-BE49-F238E27FC236}">
                <a16:creationId xmlns:a16="http://schemas.microsoft.com/office/drawing/2014/main" id="{7EB270F4-9E71-1DC3-7584-685FDCAC2FF1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1DBF039-820F-EDA0-87B2-20E1F22297C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22580</xdr:colOff>
      <xdr:row>13</xdr:row>
      <xdr:rowOff>208213</xdr:rowOff>
    </xdr:from>
    <xdr:to>
      <xdr:col>4</xdr:col>
      <xdr:colOff>205343</xdr:colOff>
      <xdr:row>14</xdr:row>
      <xdr:rowOff>210861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9DA8841-7258-4C76-8203-919F2D75AE10}"/>
            </a:ext>
          </a:extLst>
        </xdr:cNvPr>
        <xdr:cNvGrpSpPr/>
      </xdr:nvGrpSpPr>
      <xdr:grpSpPr>
        <a:xfrm>
          <a:off x="3601671" y="3256213"/>
          <a:ext cx="182763" cy="225860"/>
          <a:chOff x="6572251" y="7468545"/>
          <a:chExt cx="223837" cy="280178"/>
        </a:xfrm>
      </xdr:grpSpPr>
      <xdr:sp macro="" textlink="">
        <xdr:nvSpPr>
          <xdr:cNvPr id="15" name="Elipse 14">
            <a:extLst>
              <a:ext uri="{FF2B5EF4-FFF2-40B4-BE49-F238E27FC236}">
                <a16:creationId xmlns:a16="http://schemas.microsoft.com/office/drawing/2014/main" id="{6360B0D1-D4DE-D809-709B-7A03612F2CAF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B4D59AE4-F50F-F54B-B020-0121C6442CB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13</xdr:row>
      <xdr:rowOff>216783</xdr:rowOff>
    </xdr:from>
    <xdr:to>
      <xdr:col>4</xdr:col>
      <xdr:colOff>725408</xdr:colOff>
      <xdr:row>15</xdr:row>
      <xdr:rowOff>1802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30D4876E-5303-41E4-8333-0829AA591E01}"/>
            </a:ext>
          </a:extLst>
        </xdr:cNvPr>
        <xdr:cNvGrpSpPr/>
      </xdr:nvGrpSpPr>
      <xdr:grpSpPr>
        <a:xfrm>
          <a:off x="4121736" y="3264783"/>
          <a:ext cx="182763" cy="231443"/>
          <a:chOff x="6572251" y="7477594"/>
          <a:chExt cx="223837" cy="280178"/>
        </a:xfrm>
      </xdr:grpSpPr>
      <xdr:sp macro="" textlink="">
        <xdr:nvSpPr>
          <xdr:cNvPr id="58" name="Elipse 57">
            <a:extLst>
              <a:ext uri="{FF2B5EF4-FFF2-40B4-BE49-F238E27FC236}">
                <a16:creationId xmlns:a16="http://schemas.microsoft.com/office/drawing/2014/main" id="{D0A7F777-7117-45F7-0BE7-872D2252B0D2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741987DE-2924-C8BD-0BC4-A3672BA7AD72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22580</xdr:colOff>
      <xdr:row>9</xdr:row>
      <xdr:rowOff>208213</xdr:rowOff>
    </xdr:from>
    <xdr:to>
      <xdr:col>4</xdr:col>
      <xdr:colOff>205343</xdr:colOff>
      <xdr:row>10</xdr:row>
      <xdr:rowOff>210861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F59DCC42-E24B-46EA-8D7C-60358C3CFF06}"/>
            </a:ext>
          </a:extLst>
        </xdr:cNvPr>
        <xdr:cNvGrpSpPr/>
      </xdr:nvGrpSpPr>
      <xdr:grpSpPr>
        <a:xfrm>
          <a:off x="3601671" y="2363365"/>
          <a:ext cx="182763" cy="225860"/>
          <a:chOff x="6572251" y="7468545"/>
          <a:chExt cx="223837" cy="280178"/>
        </a:xfrm>
      </xdr:grpSpPr>
      <xdr:sp macro="" textlink="">
        <xdr:nvSpPr>
          <xdr:cNvPr id="71" name="Elipse 70">
            <a:extLst>
              <a:ext uri="{FF2B5EF4-FFF2-40B4-BE49-F238E27FC236}">
                <a16:creationId xmlns:a16="http://schemas.microsoft.com/office/drawing/2014/main" id="{2B94E9F9-1CF7-9052-6850-C382EDF832D5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881C1254-7B92-4550-5DFF-728AC4D2E2E3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9</xdr:row>
      <xdr:rowOff>216783</xdr:rowOff>
    </xdr:from>
    <xdr:to>
      <xdr:col>4</xdr:col>
      <xdr:colOff>725408</xdr:colOff>
      <xdr:row>11</xdr:row>
      <xdr:rowOff>1803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8F4E0662-86DE-48A9-9816-A5BF4FF94698}"/>
            </a:ext>
          </a:extLst>
        </xdr:cNvPr>
        <xdr:cNvGrpSpPr/>
      </xdr:nvGrpSpPr>
      <xdr:grpSpPr>
        <a:xfrm>
          <a:off x="4121736" y="2371935"/>
          <a:ext cx="182763" cy="231444"/>
          <a:chOff x="6572251" y="7477594"/>
          <a:chExt cx="223837" cy="280178"/>
        </a:xfrm>
      </xdr:grpSpPr>
      <xdr:sp macro="" textlink="">
        <xdr:nvSpPr>
          <xdr:cNvPr id="75" name="Elipse 74">
            <a:extLst>
              <a:ext uri="{FF2B5EF4-FFF2-40B4-BE49-F238E27FC236}">
                <a16:creationId xmlns:a16="http://schemas.microsoft.com/office/drawing/2014/main" id="{CDF3FE20-3497-74A9-1AB8-B7B3B0CA0F7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1E1090B1-8D23-3E74-4EF4-9EB36B077D07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  <xdr:twoCellAnchor>
    <xdr:from>
      <xdr:col>4</xdr:col>
      <xdr:colOff>22580</xdr:colOff>
      <xdr:row>9</xdr:row>
      <xdr:rowOff>208213</xdr:rowOff>
    </xdr:from>
    <xdr:to>
      <xdr:col>4</xdr:col>
      <xdr:colOff>205343</xdr:colOff>
      <xdr:row>10</xdr:row>
      <xdr:rowOff>210861</xdr:rowOff>
    </xdr:to>
    <xdr:grpSp>
      <xdr:nvGrpSpPr>
        <xdr:cNvPr id="86" name="Agrupar 85">
          <a:extLst>
            <a:ext uri="{FF2B5EF4-FFF2-40B4-BE49-F238E27FC236}">
              <a16:creationId xmlns:a16="http://schemas.microsoft.com/office/drawing/2014/main" id="{10E1A0D6-9521-4FD4-BFD8-CD34FBB2FADA}"/>
            </a:ext>
          </a:extLst>
        </xdr:cNvPr>
        <xdr:cNvGrpSpPr/>
      </xdr:nvGrpSpPr>
      <xdr:grpSpPr>
        <a:xfrm>
          <a:off x="3601671" y="2363365"/>
          <a:ext cx="182763" cy="225860"/>
          <a:chOff x="6572251" y="7468545"/>
          <a:chExt cx="223837" cy="280178"/>
        </a:xfrm>
      </xdr:grpSpPr>
      <xdr:sp macro="" textlink="">
        <xdr:nvSpPr>
          <xdr:cNvPr id="87" name="Elipse 86">
            <a:extLst>
              <a:ext uri="{FF2B5EF4-FFF2-40B4-BE49-F238E27FC236}">
                <a16:creationId xmlns:a16="http://schemas.microsoft.com/office/drawing/2014/main" id="{35883E69-CBC2-6A92-B71D-83DE02A71F77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88" name="CaixaDeTexto 87">
            <a:extLst>
              <a:ext uri="{FF2B5EF4-FFF2-40B4-BE49-F238E27FC236}">
                <a16:creationId xmlns:a16="http://schemas.microsoft.com/office/drawing/2014/main" id="{844CCC74-B879-14CD-4679-58759CC769A2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22580</xdr:colOff>
      <xdr:row>8</xdr:row>
      <xdr:rowOff>208213</xdr:rowOff>
    </xdr:from>
    <xdr:to>
      <xdr:col>4</xdr:col>
      <xdr:colOff>205343</xdr:colOff>
      <xdr:row>9</xdr:row>
      <xdr:rowOff>210861</xdr:rowOff>
    </xdr:to>
    <xdr:grpSp>
      <xdr:nvGrpSpPr>
        <xdr:cNvPr id="89" name="Agrupar 88">
          <a:extLst>
            <a:ext uri="{FF2B5EF4-FFF2-40B4-BE49-F238E27FC236}">
              <a16:creationId xmlns:a16="http://schemas.microsoft.com/office/drawing/2014/main" id="{915752F3-FF19-4440-952C-04F2D1F514C9}"/>
            </a:ext>
          </a:extLst>
        </xdr:cNvPr>
        <xdr:cNvGrpSpPr/>
      </xdr:nvGrpSpPr>
      <xdr:grpSpPr>
        <a:xfrm>
          <a:off x="3601671" y="2140152"/>
          <a:ext cx="182763" cy="225861"/>
          <a:chOff x="6572251" y="7468545"/>
          <a:chExt cx="223837" cy="280178"/>
        </a:xfrm>
      </xdr:grpSpPr>
      <xdr:sp macro="" textlink="">
        <xdr:nvSpPr>
          <xdr:cNvPr id="90" name="Elipse 89">
            <a:extLst>
              <a:ext uri="{FF2B5EF4-FFF2-40B4-BE49-F238E27FC236}">
                <a16:creationId xmlns:a16="http://schemas.microsoft.com/office/drawing/2014/main" id="{36626750-F507-0689-97B1-A75D14711956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ubtraiApplication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509E9DB8-ACEE-523C-B132-108BAAC521A1}"/>
              </a:ext>
            </a:extLst>
          </xdr:cNvPr>
          <xdr:cNvSpPr txBox="1"/>
        </xdr:nvSpPr>
        <xdr:spPr>
          <a:xfrm>
            <a:off x="6589154" y="7468545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/>
              <a:t>-</a:t>
            </a:r>
          </a:p>
        </xdr:txBody>
      </xdr:sp>
    </xdr:grpSp>
    <xdr:clientData/>
  </xdr:twoCellAnchor>
  <xdr:twoCellAnchor>
    <xdr:from>
      <xdr:col>4</xdr:col>
      <xdr:colOff>542645</xdr:colOff>
      <xdr:row>8</xdr:row>
      <xdr:rowOff>216783</xdr:rowOff>
    </xdr:from>
    <xdr:to>
      <xdr:col>4</xdr:col>
      <xdr:colOff>725408</xdr:colOff>
      <xdr:row>10</xdr:row>
      <xdr:rowOff>1803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C37E164A-8C8A-4C90-9BF9-332DEC000767}"/>
            </a:ext>
          </a:extLst>
        </xdr:cNvPr>
        <xdr:cNvGrpSpPr/>
      </xdr:nvGrpSpPr>
      <xdr:grpSpPr>
        <a:xfrm>
          <a:off x="4121736" y="2148722"/>
          <a:ext cx="182763" cy="231445"/>
          <a:chOff x="6572251" y="7477594"/>
          <a:chExt cx="223837" cy="280178"/>
        </a:xfrm>
      </xdr:grpSpPr>
      <xdr:sp macro="" textlink="">
        <xdr:nvSpPr>
          <xdr:cNvPr id="93" name="Elipse 92">
            <a:extLst>
              <a:ext uri="{FF2B5EF4-FFF2-40B4-BE49-F238E27FC236}">
                <a16:creationId xmlns:a16="http://schemas.microsoft.com/office/drawing/2014/main" id="{05AB2E61-7EEF-FAC6-7928-39E8289BEAED}"/>
              </a:ext>
            </a:extLst>
          </xdr:cNvPr>
          <xdr:cNvSpPr/>
        </xdr:nvSpPr>
        <xdr:spPr>
          <a:xfrm>
            <a:off x="6572251" y="7515225"/>
            <a:ext cx="223837" cy="219076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tx1"/>
              </a:solidFill>
            </a:endParaRPr>
          </a:p>
        </xdr:txBody>
      </xdr:sp>
      <xdr:sp macro="[0]!SomaApplication" textlink="">
        <xdr:nvSpPr>
          <xdr:cNvPr id="94" name="CaixaDeTexto 93">
            <a:extLst>
              <a:ext uri="{FF2B5EF4-FFF2-40B4-BE49-F238E27FC236}">
                <a16:creationId xmlns:a16="http://schemas.microsoft.com/office/drawing/2014/main" id="{C839A506-CB08-C005-42AD-4E911C32505F}"/>
              </a:ext>
            </a:extLst>
          </xdr:cNvPr>
          <xdr:cNvSpPr txBox="1"/>
        </xdr:nvSpPr>
        <xdr:spPr>
          <a:xfrm>
            <a:off x="6591487" y="7477594"/>
            <a:ext cx="196228" cy="28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/>
              <a:t>+</a:t>
            </a:r>
            <a:endParaRPr lang="pt-BR" sz="16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2C7A83-E56A-4AD6-8CB7-F03F89F2BBFC}" name="Capacitores" displayName="Capacitores" ref="B4:H83" totalsRowShown="0" headerRowDxfId="89" dataDxfId="88" tableBorderDxfId="87">
  <autoFilter ref="B4:H83" xr:uid="{582C7A83-E56A-4AD6-8CB7-F03F89F2BBFC}"/>
  <sortState xmlns:xlrd2="http://schemas.microsoft.com/office/spreadsheetml/2017/richdata2" ref="B5:H83">
    <sortCondition ref="B4:B83"/>
  </sortState>
  <tableColumns count="7">
    <tableColumn id="1" xr3:uid="{6F58F61A-A66E-4F37-9BE2-EB67B7DE9465}" name="Capacidade (µF)" dataDxfId="86"/>
    <tableColumn id="2" xr3:uid="{50633FF2-05DC-488D-973D-81CB6EDD0F62}" name="Tensão (V)" dataDxfId="85"/>
    <tableColumn id="3" xr3:uid="{D6BB28AA-687F-45F6-950A-53A60D0BE696}" name="Marca" dataDxfId="84"/>
    <tableColumn id="4" xr3:uid="{C4845473-DDF5-4926-A63A-09C217031D43}" name="Tipo" dataDxfId="83"/>
    <tableColumn id="5" xr3:uid="{C0B98F79-6577-469D-B602-7430CA5B4A1F}" name="Possui Polos?" dataDxfId="82"/>
    <tableColumn id="6" xr3:uid="{EB647636-55E5-4CB8-A834-14ECB27C164D}" name="Cor" dataDxfId="81"/>
    <tableColumn id="7" xr3:uid="{79057226-28C6-4461-98DA-9E3E109982C4}" name="Qtd" dataDxfId="8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80465-53DD-4922-952C-3772CAB1155B}" name="Marcas_Capacitores" displayName="Marcas_Capacitores" ref="J4:J13" totalsRowShown="0" headerRowDxfId="79">
  <autoFilter ref="J4:J13" xr:uid="{89F80465-53DD-4922-952C-3772CAB1155B}"/>
  <tableColumns count="1">
    <tableColumn id="1" xr3:uid="{CE33830A-7235-4D31-BAFD-647DF63C7EE1}" name="Marcas de Capacitores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065620-DA62-4FFC-9050-C5E9538FB58E}" name="Tipos_Capacitores" displayName="Tipos_Capacitores" ref="L4:N28" totalsRowShown="0" headerRowDxfId="78" dataDxfId="76" headerRowBorderDxfId="77" tableBorderDxfId="75">
  <autoFilter ref="L4:N28" xr:uid="{4D065620-DA62-4FFC-9050-C5E9538FB58E}"/>
  <tableColumns count="3">
    <tableColumn id="1" xr3:uid="{C7027954-B92D-4398-8637-FE0DDC53BB8B}" name="Tipo de Capacitores" dataDxfId="0"/>
    <tableColumn id="2" xr3:uid="{ED8205EE-C7A8-4D41-845F-B63EA06B87A1}" name="Descrição" dataDxfId="74"/>
    <tableColumn id="3" xr3:uid="{D10F365F-BE59-46FF-86B8-6DAD71A57CD6}" name="Imagem" dataDxfId="7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15EED2-053D-46A6-B3E7-B2F7B5459AA8}" name="Tabela1" displayName="Tabela1" ref="M31:M40" totalsRowShown="0" headerRowDxfId="72" dataDxfId="71">
  <autoFilter ref="M31:M40" xr:uid="{B815EED2-053D-46A6-B3E7-B2F7B5459AA8}"/>
  <tableColumns count="1">
    <tableColumn id="1" xr3:uid="{113D0CF2-CFBF-4279-A8A3-CCD9EA9995EB}" name="Cores" dataDxfId="7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A90584-82A5-419E-A9DC-4CE63F80C523}" name="Tabela2" displayName="Tabela2" ref="L31:L39" totalsRowShown="0" headerRowDxfId="69" dataDxfId="68">
  <autoFilter ref="L31:L39" xr:uid="{D4A90584-82A5-419E-A9DC-4CE63F80C523}"/>
  <tableColumns count="1">
    <tableColumn id="1" xr3:uid="{773DB4CE-E3FE-4BE6-9743-907D056082A6}" name="Tipos" dataDxfId="6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020075-6391-468E-A627-74B98D52CD32}" name="Capacitores13" displayName="Capacitores13" ref="B4:H56" totalsRowShown="0" headerRowDxfId="66" dataDxfId="65" tableBorderDxfId="64">
  <autoFilter ref="B4:H56" xr:uid="{582C7A83-E56A-4AD6-8CB7-F03F89F2BBFC}"/>
  <sortState xmlns:xlrd2="http://schemas.microsoft.com/office/spreadsheetml/2017/richdata2" ref="B5:H56">
    <sortCondition ref="B4:B56"/>
  </sortState>
  <tableColumns count="7">
    <tableColumn id="1" xr3:uid="{65580F1F-00C2-44EB-A83D-E77F14DE968B}" name="Resistência (Ω)" dataDxfId="41"/>
    <tableColumn id="2" xr3:uid="{2B65946B-BCE3-406A-BD09-A334EF7AEDFD}" name="1ª Faixa" dataDxfId="63"/>
    <tableColumn id="3" xr3:uid="{0844F3AC-7E5F-4D71-A4C6-EE852FB61208}" name="2ª Faixa" dataDxfId="62"/>
    <tableColumn id="4" xr3:uid="{9E113267-CA9E-4DD1-90B2-00D32E73A313}" name="3ª Faixa" dataDxfId="61"/>
    <tableColumn id="5" xr3:uid="{A34AFBD6-22E0-4EA9-9CC4-FCD5BAA6FF65}" name="Multiplicador" dataDxfId="60"/>
    <tableColumn id="6" xr3:uid="{2BAE29BF-A357-45F4-8188-7D40B37828CA}" name="Tolerância" dataDxfId="59"/>
    <tableColumn id="7" xr3:uid="{0C54559E-09FD-4D5C-B097-10B708F3E367}" name="Qtd" dataDxfId="5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D785F34-D0E4-4B3C-889B-8DBD2BD3CA78}" name="Tipos_Capacitores15" displayName="Tipos_Capacitores15" ref="J4:O16" totalsRowShown="0" headerRowDxfId="57" dataDxfId="55" headerRowBorderDxfId="56" tableBorderDxfId="54">
  <autoFilter ref="J4:O16" xr:uid="{4D065620-DA62-4FFC-9050-C5E9538FB58E}"/>
  <tableColumns count="6">
    <tableColumn id="1" xr3:uid="{6F06DAB5-E412-40C1-935F-1AE62576DDBA}" name="Cor" dataDxfId="53"/>
    <tableColumn id="2" xr3:uid="{38124B62-23D2-4717-8A8D-D21E2A00E472}" name="1ª Faixa" dataDxfId="52"/>
    <tableColumn id="3" xr3:uid="{3B95C212-0D8A-4526-A6C3-7A5A6221FB46}" name="2ª Faixa" dataDxfId="51"/>
    <tableColumn id="4" xr3:uid="{6C043C00-6807-4C54-AC21-30FE31E84D37}" name="3ª Faixa" dataDxfId="50"/>
    <tableColumn id="5" xr3:uid="{BACA2147-7145-465A-8A44-5D986D68CD5D}" name="* Multiplicador (Ω)" dataDxfId="49"/>
    <tableColumn id="6" xr3:uid="{EBEECEE4-C8D8-442A-BB26-4D45AFE42BF1}" name="Tolerância" dataDxfId="4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FAF541-2A21-4449-BC46-3867F5EDA669}" name="Tabela3" displayName="Tabela3" ref="J18:J19" totalsRowShown="0" headerRowDxfId="42" dataDxfId="43" headerRowBorderDxfId="45" tableBorderDxfId="46">
  <autoFilter ref="J18:J19" xr:uid="{28FAF541-2A21-4449-BC46-3867F5EDA669}"/>
  <tableColumns count="1">
    <tableColumn id="1" xr3:uid="{86952CD5-6AD8-4586-8124-86429B20556A}" name="Quantidade" dataDxfId="44">
      <calculatedColumnFormula>SUM(Capacitores13[Qtd])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6FA9D33-C93C-4751-958C-D9476A06D372}" name="Capacitores10" displayName="Capacitores10" ref="B4:E12" totalsRowShown="0" headerRowDxfId="25" dataDxfId="24" tableBorderDxfId="23">
  <autoFilter ref="B4:E12" xr:uid="{582C7A83-E56A-4AD6-8CB7-F03F89F2BBFC}"/>
  <sortState xmlns:xlrd2="http://schemas.microsoft.com/office/spreadsheetml/2017/richdata2" ref="B5:E34">
    <sortCondition ref="D4:D34"/>
  </sortState>
  <tableColumns count="4">
    <tableColumn id="1" xr3:uid="{B7CD309D-C8B7-4C92-8F3E-7DB3220575B5}" name="Cor" dataDxfId="22"/>
    <tableColumn id="2" xr3:uid="{8B8C51E0-35A7-453D-9703-FAD6065A8BA1}" name="Tensão (V)" dataDxfId="21"/>
    <tableColumn id="3" xr3:uid="{6538806A-51FA-466F-A7C2-D466C35069B3}" name="Tipo" dataDxfId="20"/>
    <tableColumn id="7" xr3:uid="{32CAA24D-A4D6-449B-BA51-9827A329DEE1}" name="Qtd" dataDxfId="19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4AB8D1-852B-4908-A8AB-3EADE3BAF73A}" name="Marcas_Capacitores11" displayName="Marcas_Capacitores11" ref="H4:H8" totalsRowShown="0" headerRowDxfId="47">
  <autoFilter ref="H4:H8" xr:uid="{89F80465-53DD-4922-952C-3772CAB1155B}"/>
  <tableColumns count="1">
    <tableColumn id="1" xr3:uid="{1DEE433D-2F41-48B1-B69C-83638DAAF412}" name="Co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BB04C-CB54-44B4-9AC6-EB34496FDB2A}">
  <sheetPr codeName="Planilha1">
    <tabColor theme="5" tint="0.39997558519241921"/>
  </sheetPr>
  <dimension ref="A1:N200"/>
  <sheetViews>
    <sheetView tabSelected="1" topLeftCell="D1" zoomScale="79" zoomScaleNormal="310" workbookViewId="0">
      <pane ySplit="4" topLeftCell="A5" activePane="bottomLeft" state="frozen"/>
      <selection pane="bottomLeft" activeCell="L6" sqref="L6"/>
    </sheetView>
  </sheetViews>
  <sheetFormatPr defaultRowHeight="14.4" x14ac:dyDescent="0.3"/>
  <cols>
    <col min="2" max="3" width="15.77734375" style="1" customWidth="1"/>
    <col min="4" max="4" width="11.6640625" style="1" customWidth="1"/>
    <col min="5" max="5" width="12" style="1" customWidth="1"/>
    <col min="6" max="6" width="13.5546875" style="1" customWidth="1"/>
    <col min="7" max="7" width="15.21875" style="1" customWidth="1"/>
    <col min="8" max="8" width="10.88671875" style="1" customWidth="1"/>
    <col min="9" max="9" width="10.6640625" customWidth="1"/>
    <col min="10" max="10" width="22.33203125" bestFit="1" customWidth="1"/>
    <col min="12" max="12" width="17.88671875" customWidth="1"/>
    <col min="13" max="13" width="89.44140625" customWidth="1"/>
    <col min="14" max="14" width="19.6640625" customWidth="1"/>
  </cols>
  <sheetData>
    <row r="1" spans="2:14" s="8" customFormat="1" ht="28.8" customHeight="1" x14ac:dyDescent="0.3">
      <c r="B1" s="12" t="s">
        <v>0</v>
      </c>
      <c r="C1" s="9"/>
      <c r="D1" s="9"/>
      <c r="E1" s="9"/>
      <c r="F1" s="9"/>
      <c r="G1" s="9"/>
      <c r="H1" s="9"/>
    </row>
    <row r="2" spans="2:14" s="10" customFormat="1" ht="6" customHeight="1" x14ac:dyDescent="0.3">
      <c r="B2" s="11"/>
      <c r="C2" s="11"/>
      <c r="D2" s="11"/>
      <c r="E2" s="11"/>
      <c r="F2" s="11"/>
      <c r="G2" s="11"/>
      <c r="H2" s="11"/>
    </row>
    <row r="3" spans="2:14" ht="17.399999999999999" customHeight="1" x14ac:dyDescent="0.3"/>
    <row r="4" spans="2:14" ht="28.8" customHeight="1" thickBot="1" x14ac:dyDescent="0.35">
      <c r="B4" s="6" t="s">
        <v>13</v>
      </c>
      <c r="C4" s="6" t="s">
        <v>10</v>
      </c>
      <c r="D4" s="6" t="s">
        <v>8</v>
      </c>
      <c r="E4" s="6" t="s">
        <v>2</v>
      </c>
      <c r="F4" s="6" t="s">
        <v>6</v>
      </c>
      <c r="G4" s="6" t="s">
        <v>3</v>
      </c>
      <c r="H4" s="7" t="s">
        <v>4</v>
      </c>
      <c r="J4" s="14" t="s">
        <v>14</v>
      </c>
      <c r="L4" s="76" t="s">
        <v>16</v>
      </c>
      <c r="M4" s="14" t="s">
        <v>24</v>
      </c>
      <c r="N4" s="14" t="s">
        <v>25</v>
      </c>
    </row>
    <row r="5" spans="2:14" ht="17.399999999999999" customHeight="1" x14ac:dyDescent="0.3">
      <c r="B5" s="2">
        <v>2.1999999999999999E-2</v>
      </c>
      <c r="C5" s="2">
        <v>400</v>
      </c>
      <c r="D5" s="2" t="s">
        <v>75</v>
      </c>
      <c r="E5" s="2" t="s">
        <v>17</v>
      </c>
      <c r="F5" s="2" t="s">
        <v>85</v>
      </c>
      <c r="G5" s="2" t="s">
        <v>49</v>
      </c>
      <c r="H5" s="3">
        <v>21</v>
      </c>
      <c r="J5" t="s">
        <v>9</v>
      </c>
      <c r="L5" s="77"/>
      <c r="M5" s="15" t="s">
        <v>31</v>
      </c>
      <c r="N5" s="20"/>
    </row>
    <row r="6" spans="2:14" ht="17.399999999999999" customHeight="1" x14ac:dyDescent="0.3">
      <c r="B6" s="2">
        <v>0.22</v>
      </c>
      <c r="C6" s="2">
        <v>100</v>
      </c>
      <c r="D6" s="2" t="s">
        <v>75</v>
      </c>
      <c r="E6" s="2" t="s">
        <v>17</v>
      </c>
      <c r="F6" s="2" t="s">
        <v>85</v>
      </c>
      <c r="G6" s="2" t="s">
        <v>49</v>
      </c>
      <c r="H6" s="60">
        <v>12</v>
      </c>
      <c r="J6" t="s">
        <v>11</v>
      </c>
      <c r="L6" s="78" t="s">
        <v>1</v>
      </c>
      <c r="M6" s="16" t="s">
        <v>32</v>
      </c>
      <c r="N6" s="21"/>
    </row>
    <row r="7" spans="2:14" ht="17.399999999999999" customHeight="1" thickBot="1" x14ac:dyDescent="0.35">
      <c r="B7" s="2">
        <v>0.64</v>
      </c>
      <c r="C7" s="2">
        <v>64</v>
      </c>
      <c r="D7" s="2" t="s">
        <v>83</v>
      </c>
      <c r="E7" s="2" t="s">
        <v>1</v>
      </c>
      <c r="F7" s="2" t="s">
        <v>7</v>
      </c>
      <c r="G7" s="2" t="s">
        <v>58</v>
      </c>
      <c r="H7" s="60">
        <v>1</v>
      </c>
      <c r="J7" t="s">
        <v>15</v>
      </c>
      <c r="L7" s="79"/>
      <c r="M7" s="17" t="s">
        <v>33</v>
      </c>
      <c r="N7" s="22"/>
    </row>
    <row r="8" spans="2:14" ht="17.399999999999999" customHeight="1" x14ac:dyDescent="0.3">
      <c r="B8" s="2">
        <v>1</v>
      </c>
      <c r="C8" s="2">
        <v>63</v>
      </c>
      <c r="D8" s="2" t="s">
        <v>15</v>
      </c>
      <c r="E8" s="2" t="s">
        <v>1</v>
      </c>
      <c r="F8" s="2" t="s">
        <v>7</v>
      </c>
      <c r="G8" s="2" t="s">
        <v>48</v>
      </c>
      <c r="H8" s="60">
        <v>3</v>
      </c>
      <c r="J8" t="s">
        <v>75</v>
      </c>
      <c r="L8" s="77"/>
      <c r="M8" s="15" t="s">
        <v>34</v>
      </c>
      <c r="N8" s="20"/>
    </row>
    <row r="9" spans="2:14" ht="17.399999999999999" customHeight="1" x14ac:dyDescent="0.3">
      <c r="B9" s="2">
        <v>1</v>
      </c>
      <c r="C9" s="2">
        <v>100</v>
      </c>
      <c r="D9" s="2" t="s">
        <v>15</v>
      </c>
      <c r="E9" s="2" t="s">
        <v>1</v>
      </c>
      <c r="F9" s="2" t="s">
        <v>7</v>
      </c>
      <c r="G9" s="2" t="s">
        <v>48</v>
      </c>
      <c r="H9" s="60">
        <v>3</v>
      </c>
      <c r="J9" t="s">
        <v>77</v>
      </c>
      <c r="L9" s="80" t="s">
        <v>17</v>
      </c>
      <c r="M9" s="16" t="s">
        <v>35</v>
      </c>
      <c r="N9" s="21"/>
    </row>
    <row r="10" spans="2:14" ht="17.399999999999999" customHeight="1" thickBot="1" x14ac:dyDescent="0.35">
      <c r="B10" s="2">
        <v>1</v>
      </c>
      <c r="C10" s="2">
        <v>250</v>
      </c>
      <c r="D10" s="2" t="s">
        <v>77</v>
      </c>
      <c r="E10" s="2" t="s">
        <v>17</v>
      </c>
      <c r="F10" s="2" t="s">
        <v>85</v>
      </c>
      <c r="G10" s="2" t="s">
        <v>49</v>
      </c>
      <c r="H10" s="3">
        <v>9</v>
      </c>
      <c r="J10" t="s">
        <v>78</v>
      </c>
      <c r="L10" s="79"/>
      <c r="M10" s="17" t="s">
        <v>36</v>
      </c>
      <c r="N10" s="22"/>
    </row>
    <row r="11" spans="2:14" ht="17.399999999999999" customHeight="1" x14ac:dyDescent="0.3">
      <c r="B11" s="2">
        <v>1</v>
      </c>
      <c r="C11" s="2">
        <v>100</v>
      </c>
      <c r="D11" s="2" t="s">
        <v>75</v>
      </c>
      <c r="E11" s="2" t="s">
        <v>17</v>
      </c>
      <c r="F11" s="2" t="s">
        <v>85</v>
      </c>
      <c r="G11" s="2" t="s">
        <v>49</v>
      </c>
      <c r="H11" s="60">
        <v>10</v>
      </c>
      <c r="J11" t="s">
        <v>82</v>
      </c>
      <c r="L11" s="77"/>
      <c r="M11" s="18" t="s">
        <v>39</v>
      </c>
      <c r="N11" s="20"/>
    </row>
    <row r="12" spans="2:14" ht="17.399999999999999" customHeight="1" x14ac:dyDescent="0.3">
      <c r="B12" s="2">
        <v>1</v>
      </c>
      <c r="C12" s="2">
        <v>250</v>
      </c>
      <c r="D12" s="2" t="s">
        <v>77</v>
      </c>
      <c r="E12" s="2" t="s">
        <v>17</v>
      </c>
      <c r="F12" s="2" t="s">
        <v>85</v>
      </c>
      <c r="G12" s="75" t="s">
        <v>61</v>
      </c>
      <c r="H12" s="60">
        <v>2</v>
      </c>
      <c r="J12" t="s">
        <v>83</v>
      </c>
      <c r="L12" s="78" t="s">
        <v>18</v>
      </c>
      <c r="M12" s="16" t="s">
        <v>38</v>
      </c>
      <c r="N12" s="21"/>
    </row>
    <row r="13" spans="2:14" ht="17.399999999999999" customHeight="1" thickBot="1" x14ac:dyDescent="0.35">
      <c r="B13" s="2">
        <v>2</v>
      </c>
      <c r="C13" s="2">
        <v>63</v>
      </c>
      <c r="D13" s="2" t="s">
        <v>75</v>
      </c>
      <c r="E13" s="2" t="s">
        <v>1</v>
      </c>
      <c r="F13" s="2" t="s">
        <v>7</v>
      </c>
      <c r="G13" s="75" t="s">
        <v>5</v>
      </c>
      <c r="H13" s="60">
        <v>1</v>
      </c>
      <c r="J13" t="s">
        <v>84</v>
      </c>
      <c r="L13" s="79"/>
      <c r="M13" s="17" t="s">
        <v>37</v>
      </c>
      <c r="N13" s="22"/>
    </row>
    <row r="14" spans="2:14" ht="17.399999999999999" customHeight="1" x14ac:dyDescent="0.3">
      <c r="B14" s="2">
        <v>2.2000000000000002</v>
      </c>
      <c r="C14" s="2">
        <v>63</v>
      </c>
      <c r="D14" s="2" t="s">
        <v>11</v>
      </c>
      <c r="E14" s="2" t="s">
        <v>1</v>
      </c>
      <c r="F14" s="2" t="s">
        <v>7</v>
      </c>
      <c r="G14" s="75" t="s">
        <v>5</v>
      </c>
      <c r="H14" s="60">
        <v>5</v>
      </c>
      <c r="L14" s="77"/>
      <c r="M14" s="19" t="s">
        <v>40</v>
      </c>
      <c r="N14" s="20"/>
    </row>
    <row r="15" spans="2:14" ht="17.399999999999999" customHeight="1" x14ac:dyDescent="0.3">
      <c r="B15" s="4">
        <v>2.2000000000000002</v>
      </c>
      <c r="C15" s="4">
        <v>63</v>
      </c>
      <c r="D15" s="4" t="s">
        <v>15</v>
      </c>
      <c r="E15" s="4" t="s">
        <v>1</v>
      </c>
      <c r="F15" s="2" t="s">
        <v>7</v>
      </c>
      <c r="G15" s="4" t="s">
        <v>48</v>
      </c>
      <c r="H15" s="3">
        <v>3</v>
      </c>
      <c r="L15" s="80" t="s">
        <v>19</v>
      </c>
      <c r="M15" s="16" t="s">
        <v>41</v>
      </c>
      <c r="N15" s="21"/>
    </row>
    <row r="16" spans="2:14" ht="17.399999999999999" customHeight="1" thickBot="1" x14ac:dyDescent="0.35">
      <c r="B16" s="4">
        <v>4.7</v>
      </c>
      <c r="C16" s="4">
        <v>63</v>
      </c>
      <c r="D16" s="4" t="s">
        <v>9</v>
      </c>
      <c r="E16" s="4" t="s">
        <v>1</v>
      </c>
      <c r="F16" s="4" t="s">
        <v>7</v>
      </c>
      <c r="G16" s="4" t="s">
        <v>5</v>
      </c>
      <c r="H16" s="3">
        <v>5</v>
      </c>
      <c r="J16" s="66" t="s">
        <v>88</v>
      </c>
      <c r="L16" s="79"/>
      <c r="M16" s="17" t="s">
        <v>26</v>
      </c>
      <c r="N16" s="22"/>
    </row>
    <row r="17" spans="1:14" ht="17.399999999999999" customHeight="1" x14ac:dyDescent="0.3">
      <c r="B17" s="4">
        <v>4.7</v>
      </c>
      <c r="C17" s="4">
        <v>100</v>
      </c>
      <c r="D17" s="4" t="s">
        <v>77</v>
      </c>
      <c r="E17" s="4" t="s">
        <v>1</v>
      </c>
      <c r="F17" s="4" t="s">
        <v>7</v>
      </c>
      <c r="G17" s="4" t="s">
        <v>49</v>
      </c>
      <c r="H17" s="60">
        <v>8</v>
      </c>
      <c r="J17" s="67">
        <f>SUM(H:H)</f>
        <v>575</v>
      </c>
      <c r="L17" s="81"/>
      <c r="M17" s="19" t="s">
        <v>42</v>
      </c>
      <c r="N17" s="20"/>
    </row>
    <row r="18" spans="1:14" ht="17.399999999999999" customHeight="1" x14ac:dyDescent="0.3">
      <c r="B18" s="4">
        <v>10</v>
      </c>
      <c r="C18" s="4">
        <v>160</v>
      </c>
      <c r="D18" s="4" t="s">
        <v>11</v>
      </c>
      <c r="E18" s="4" t="s">
        <v>1</v>
      </c>
      <c r="F18" s="4" t="s">
        <v>7</v>
      </c>
      <c r="G18" s="4" t="s">
        <v>5</v>
      </c>
      <c r="H18" s="60">
        <v>5</v>
      </c>
      <c r="L18" s="82" t="s">
        <v>20</v>
      </c>
      <c r="M18" s="16" t="s">
        <v>43</v>
      </c>
      <c r="N18" s="21"/>
    </row>
    <row r="19" spans="1:14" ht="17.399999999999999" customHeight="1" thickBot="1" x14ac:dyDescent="0.35">
      <c r="B19" s="4">
        <v>10</v>
      </c>
      <c r="C19" s="4">
        <v>63</v>
      </c>
      <c r="D19" s="4" t="s">
        <v>11</v>
      </c>
      <c r="E19" s="4" t="s">
        <v>1</v>
      </c>
      <c r="F19" s="4" t="s">
        <v>7</v>
      </c>
      <c r="G19" s="4" t="s">
        <v>5</v>
      </c>
      <c r="H19" s="60">
        <v>4</v>
      </c>
      <c r="L19" s="81"/>
      <c r="M19" s="17"/>
      <c r="N19" s="22"/>
    </row>
    <row r="20" spans="1:14" ht="17.399999999999999" customHeight="1" x14ac:dyDescent="0.3">
      <c r="A20" t="s">
        <v>76</v>
      </c>
      <c r="B20" s="4">
        <v>10</v>
      </c>
      <c r="C20" s="4">
        <v>25</v>
      </c>
      <c r="D20" s="4" t="s">
        <v>77</v>
      </c>
      <c r="E20" s="4" t="s">
        <v>1</v>
      </c>
      <c r="F20" s="4" t="s">
        <v>7</v>
      </c>
      <c r="G20" s="4" t="s">
        <v>49</v>
      </c>
      <c r="H20" s="3">
        <v>21</v>
      </c>
      <c r="L20" s="77"/>
      <c r="M20" s="19" t="s">
        <v>29</v>
      </c>
      <c r="N20" s="20"/>
    </row>
    <row r="21" spans="1:14" ht="17.399999999999999" customHeight="1" x14ac:dyDescent="0.3">
      <c r="B21" s="4">
        <v>10</v>
      </c>
      <c r="C21" s="4">
        <v>50</v>
      </c>
      <c r="D21" s="4" t="s">
        <v>15</v>
      </c>
      <c r="E21" s="4" t="s">
        <v>1</v>
      </c>
      <c r="F21" s="4" t="s">
        <v>7</v>
      </c>
      <c r="G21" s="4" t="s">
        <v>48</v>
      </c>
      <c r="H21" s="60">
        <v>3</v>
      </c>
      <c r="L21" s="80" t="s">
        <v>21</v>
      </c>
      <c r="M21" s="16" t="s">
        <v>30</v>
      </c>
      <c r="N21" s="21"/>
    </row>
    <row r="22" spans="1:14" ht="17.399999999999999" customHeight="1" thickBot="1" x14ac:dyDescent="0.35">
      <c r="B22" s="4">
        <v>10</v>
      </c>
      <c r="C22" s="4">
        <v>63</v>
      </c>
      <c r="D22" s="4" t="s">
        <v>77</v>
      </c>
      <c r="E22" s="4" t="s">
        <v>1</v>
      </c>
      <c r="F22" s="4" t="s">
        <v>7</v>
      </c>
      <c r="G22" s="4" t="s">
        <v>49</v>
      </c>
      <c r="H22" s="60">
        <v>1</v>
      </c>
      <c r="L22" s="79"/>
      <c r="M22" s="17"/>
      <c r="N22" s="22"/>
    </row>
    <row r="23" spans="1:14" ht="17.399999999999999" customHeight="1" x14ac:dyDescent="0.3">
      <c r="B23" s="4">
        <v>10</v>
      </c>
      <c r="C23" s="4">
        <v>16</v>
      </c>
      <c r="D23" s="4" t="s">
        <v>78</v>
      </c>
      <c r="E23" s="4" t="s">
        <v>1</v>
      </c>
      <c r="F23" s="4" t="s">
        <v>7</v>
      </c>
      <c r="G23" s="4" t="s">
        <v>79</v>
      </c>
      <c r="H23" s="60">
        <v>1</v>
      </c>
      <c r="L23" s="77"/>
      <c r="M23" s="19" t="s">
        <v>27</v>
      </c>
      <c r="N23" s="20"/>
    </row>
    <row r="24" spans="1:14" ht="17.399999999999999" customHeight="1" x14ac:dyDescent="0.3">
      <c r="B24" s="4">
        <v>10</v>
      </c>
      <c r="C24" s="4">
        <v>25</v>
      </c>
      <c r="D24" s="4" t="s">
        <v>75</v>
      </c>
      <c r="E24" s="4" t="s">
        <v>1</v>
      </c>
      <c r="F24" s="4" t="s">
        <v>7</v>
      </c>
      <c r="G24" s="4" t="s">
        <v>5</v>
      </c>
      <c r="H24" s="60">
        <v>1</v>
      </c>
      <c r="L24" s="78" t="s">
        <v>22</v>
      </c>
      <c r="M24" s="16" t="s">
        <v>28</v>
      </c>
      <c r="N24" s="21"/>
    </row>
    <row r="25" spans="1:14" ht="17.399999999999999" customHeight="1" thickBot="1" x14ac:dyDescent="0.35">
      <c r="B25" s="4">
        <v>10</v>
      </c>
      <c r="C25" s="4">
        <v>63</v>
      </c>
      <c r="D25" s="4" t="s">
        <v>82</v>
      </c>
      <c r="E25" s="4" t="s">
        <v>1</v>
      </c>
      <c r="F25" s="4" t="s">
        <v>7</v>
      </c>
      <c r="G25" s="4" t="s">
        <v>57</v>
      </c>
      <c r="H25" s="3">
        <v>1</v>
      </c>
      <c r="L25" s="79"/>
      <c r="M25" s="17"/>
      <c r="N25" s="22"/>
    </row>
    <row r="26" spans="1:14" ht="17.399999999999999" customHeight="1" x14ac:dyDescent="0.3">
      <c r="B26" s="4">
        <v>10</v>
      </c>
      <c r="C26" s="4">
        <v>100</v>
      </c>
      <c r="D26" s="4" t="s">
        <v>82</v>
      </c>
      <c r="E26" s="4" t="s">
        <v>1</v>
      </c>
      <c r="F26" s="4" t="s">
        <v>7</v>
      </c>
      <c r="G26" s="4" t="s">
        <v>57</v>
      </c>
      <c r="H26" s="60">
        <v>1</v>
      </c>
      <c r="L26" s="77"/>
      <c r="M26" s="19" t="s">
        <v>44</v>
      </c>
      <c r="N26" s="20"/>
    </row>
    <row r="27" spans="1:14" ht="17.399999999999999" customHeight="1" x14ac:dyDescent="0.3">
      <c r="B27" s="4">
        <v>10</v>
      </c>
      <c r="C27" s="4">
        <v>16</v>
      </c>
      <c r="D27" s="4" t="s">
        <v>11</v>
      </c>
      <c r="E27" s="4" t="s">
        <v>1</v>
      </c>
      <c r="F27" s="4" t="s">
        <v>7</v>
      </c>
      <c r="G27" s="4" t="s">
        <v>55</v>
      </c>
      <c r="H27" s="60">
        <v>1</v>
      </c>
      <c r="L27" s="83" t="s">
        <v>23</v>
      </c>
      <c r="M27" s="16" t="s">
        <v>45</v>
      </c>
      <c r="N27" s="21"/>
    </row>
    <row r="28" spans="1:14" ht="17.399999999999999" customHeight="1" thickBot="1" x14ac:dyDescent="0.35">
      <c r="B28" s="4">
        <v>10</v>
      </c>
      <c r="C28" s="4">
        <v>16</v>
      </c>
      <c r="D28" s="4" t="s">
        <v>83</v>
      </c>
      <c r="E28" s="4" t="s">
        <v>18</v>
      </c>
      <c r="F28" s="4" t="s">
        <v>85</v>
      </c>
      <c r="G28" s="4" t="s">
        <v>49</v>
      </c>
      <c r="H28" s="60">
        <v>13</v>
      </c>
      <c r="L28" s="79"/>
      <c r="M28" s="17"/>
      <c r="N28" s="22"/>
    </row>
    <row r="29" spans="1:14" ht="17.399999999999999" customHeight="1" x14ac:dyDescent="0.3">
      <c r="B29" s="4">
        <v>10</v>
      </c>
      <c r="C29" s="4">
        <v>35</v>
      </c>
      <c r="D29" s="4" t="s">
        <v>77</v>
      </c>
      <c r="E29" s="4" t="s">
        <v>19</v>
      </c>
      <c r="F29" s="4" t="s">
        <v>7</v>
      </c>
      <c r="G29" s="4" t="s">
        <v>49</v>
      </c>
      <c r="H29" s="60">
        <v>16</v>
      </c>
    </row>
    <row r="30" spans="1:14" ht="17.399999999999999" customHeight="1" x14ac:dyDescent="0.3">
      <c r="B30" s="4">
        <v>22</v>
      </c>
      <c r="C30" s="4">
        <v>25</v>
      </c>
      <c r="D30" s="4" t="s">
        <v>9</v>
      </c>
      <c r="E30" s="4" t="s">
        <v>1</v>
      </c>
      <c r="F30" s="4" t="s">
        <v>7</v>
      </c>
      <c r="G30" s="4" t="s">
        <v>5</v>
      </c>
      <c r="H30" s="3">
        <v>4</v>
      </c>
    </row>
    <row r="31" spans="1:14" ht="17.399999999999999" customHeight="1" x14ac:dyDescent="0.3">
      <c r="B31" s="4">
        <v>22</v>
      </c>
      <c r="C31" s="4">
        <v>250</v>
      </c>
      <c r="D31" s="4" t="s">
        <v>77</v>
      </c>
      <c r="E31" s="4" t="s">
        <v>1</v>
      </c>
      <c r="F31" s="4" t="s">
        <v>7</v>
      </c>
      <c r="G31" s="4" t="s">
        <v>49</v>
      </c>
      <c r="H31" s="3">
        <v>5</v>
      </c>
      <c r="L31" s="61" t="s">
        <v>80</v>
      </c>
      <c r="M31" s="61" t="s">
        <v>81</v>
      </c>
    </row>
    <row r="32" spans="1:14" ht="17.399999999999999" customHeight="1" x14ac:dyDescent="0.3">
      <c r="B32" s="4">
        <v>47</v>
      </c>
      <c r="C32" s="4">
        <v>63</v>
      </c>
      <c r="D32" s="4" t="s">
        <v>9</v>
      </c>
      <c r="E32" s="4" t="s">
        <v>1</v>
      </c>
      <c r="F32" s="4" t="s">
        <v>7</v>
      </c>
      <c r="G32" s="4" t="s">
        <v>5</v>
      </c>
      <c r="H32" s="60">
        <v>10</v>
      </c>
      <c r="L32" s="61" t="s">
        <v>1</v>
      </c>
      <c r="M32" s="61" t="s">
        <v>48</v>
      </c>
    </row>
    <row r="33" spans="2:13" ht="17.399999999999999" customHeight="1" x14ac:dyDescent="0.3">
      <c r="B33" s="4">
        <v>47</v>
      </c>
      <c r="C33" s="4">
        <v>40</v>
      </c>
      <c r="D33" s="4" t="s">
        <v>11</v>
      </c>
      <c r="E33" s="4" t="s">
        <v>1</v>
      </c>
      <c r="F33" s="4" t="s">
        <v>7</v>
      </c>
      <c r="G33" s="4" t="s">
        <v>5</v>
      </c>
      <c r="H33" s="60">
        <v>5</v>
      </c>
      <c r="L33" s="61" t="s">
        <v>17</v>
      </c>
      <c r="M33" s="61" t="s">
        <v>5</v>
      </c>
    </row>
    <row r="34" spans="2:13" ht="17.399999999999999" customHeight="1" x14ac:dyDescent="0.3">
      <c r="B34" s="4">
        <v>47</v>
      </c>
      <c r="C34" s="4">
        <v>25</v>
      </c>
      <c r="D34" s="4" t="s">
        <v>9</v>
      </c>
      <c r="E34" s="4" t="s">
        <v>1</v>
      </c>
      <c r="F34" s="4" t="s">
        <v>7</v>
      </c>
      <c r="G34" s="4" t="s">
        <v>5</v>
      </c>
      <c r="H34" s="60">
        <v>5</v>
      </c>
      <c r="L34" s="61" t="s">
        <v>18</v>
      </c>
      <c r="M34" s="61" t="s">
        <v>49</v>
      </c>
    </row>
    <row r="35" spans="2:13" ht="17.399999999999999" customHeight="1" x14ac:dyDescent="0.3">
      <c r="B35" s="4">
        <v>47</v>
      </c>
      <c r="C35" s="4">
        <v>25</v>
      </c>
      <c r="D35" s="4" t="s">
        <v>77</v>
      </c>
      <c r="E35" s="4" t="s">
        <v>1</v>
      </c>
      <c r="F35" s="4" t="s">
        <v>7</v>
      </c>
      <c r="G35" s="4" t="s">
        <v>49</v>
      </c>
      <c r="H35" s="60">
        <v>1</v>
      </c>
      <c r="L35" s="61" t="s">
        <v>19</v>
      </c>
      <c r="M35" s="61" t="s">
        <v>79</v>
      </c>
    </row>
    <row r="36" spans="2:13" ht="17.399999999999999" customHeight="1" x14ac:dyDescent="0.3">
      <c r="B36" s="4">
        <v>47</v>
      </c>
      <c r="C36" s="4">
        <v>50</v>
      </c>
      <c r="D36" s="4" t="s">
        <v>15</v>
      </c>
      <c r="E36" s="4" t="s">
        <v>1</v>
      </c>
      <c r="F36" s="4" t="s">
        <v>7</v>
      </c>
      <c r="G36" s="4" t="s">
        <v>48</v>
      </c>
      <c r="H36" s="3">
        <v>3</v>
      </c>
      <c r="L36" s="61" t="s">
        <v>20</v>
      </c>
      <c r="M36" s="61" t="s">
        <v>57</v>
      </c>
    </row>
    <row r="37" spans="2:13" ht="17.399999999999999" customHeight="1" x14ac:dyDescent="0.3">
      <c r="B37" s="4">
        <v>100</v>
      </c>
      <c r="C37" s="4">
        <v>63</v>
      </c>
      <c r="D37" s="4" t="s">
        <v>9</v>
      </c>
      <c r="E37" s="4" t="s">
        <v>1</v>
      </c>
      <c r="F37" s="4" t="s">
        <v>7</v>
      </c>
      <c r="G37" s="4" t="s">
        <v>5</v>
      </c>
      <c r="H37" s="3">
        <v>6</v>
      </c>
      <c r="L37" s="61" t="s">
        <v>21</v>
      </c>
      <c r="M37" s="61" t="s">
        <v>58</v>
      </c>
    </row>
    <row r="38" spans="2:13" ht="17.399999999999999" customHeight="1" x14ac:dyDescent="0.3">
      <c r="B38" s="2">
        <v>100</v>
      </c>
      <c r="C38" s="2">
        <v>16</v>
      </c>
      <c r="D38" s="4" t="s">
        <v>11</v>
      </c>
      <c r="E38" s="4" t="s">
        <v>1</v>
      </c>
      <c r="F38" s="4" t="s">
        <v>7</v>
      </c>
      <c r="G38" s="4" t="s">
        <v>5</v>
      </c>
      <c r="H38" s="3">
        <v>5</v>
      </c>
      <c r="L38" s="61" t="s">
        <v>22</v>
      </c>
      <c r="M38" s="61" t="s">
        <v>55</v>
      </c>
    </row>
    <row r="39" spans="2:13" ht="17.399999999999999" customHeight="1" x14ac:dyDescent="0.3">
      <c r="B39" s="2">
        <v>100</v>
      </c>
      <c r="C39" s="2">
        <v>25</v>
      </c>
      <c r="D39" s="4" t="s">
        <v>9</v>
      </c>
      <c r="E39" s="4" t="s">
        <v>1</v>
      </c>
      <c r="F39" s="4" t="s">
        <v>7</v>
      </c>
      <c r="G39" s="4" t="s">
        <v>5</v>
      </c>
      <c r="H39" s="3">
        <v>5</v>
      </c>
      <c r="L39" s="61" t="s">
        <v>23</v>
      </c>
      <c r="M39" s="61" t="s">
        <v>87</v>
      </c>
    </row>
    <row r="40" spans="2:13" ht="17.399999999999999" customHeight="1" x14ac:dyDescent="0.3">
      <c r="B40" s="2">
        <v>100</v>
      </c>
      <c r="C40" s="2">
        <v>10</v>
      </c>
      <c r="D40" s="4" t="s">
        <v>77</v>
      </c>
      <c r="E40" s="4" t="s">
        <v>1</v>
      </c>
      <c r="F40" s="4" t="s">
        <v>7</v>
      </c>
      <c r="G40" s="4" t="s">
        <v>49</v>
      </c>
      <c r="H40" s="3">
        <v>1</v>
      </c>
      <c r="M40" s="61" t="s">
        <v>61</v>
      </c>
    </row>
    <row r="41" spans="2:13" ht="17.399999999999999" customHeight="1" x14ac:dyDescent="0.3">
      <c r="B41" s="2">
        <v>100</v>
      </c>
      <c r="C41" s="2">
        <v>25</v>
      </c>
      <c r="D41" s="4" t="s">
        <v>77</v>
      </c>
      <c r="E41" s="4" t="s">
        <v>1</v>
      </c>
      <c r="F41" s="4" t="s">
        <v>7</v>
      </c>
      <c r="G41" s="4" t="s">
        <v>49</v>
      </c>
      <c r="H41" s="3">
        <v>4</v>
      </c>
    </row>
    <row r="42" spans="2:13" ht="17.399999999999999" customHeight="1" x14ac:dyDescent="0.3">
      <c r="B42" s="2">
        <v>100</v>
      </c>
      <c r="C42" s="2">
        <v>35</v>
      </c>
      <c r="D42" s="4" t="s">
        <v>15</v>
      </c>
      <c r="E42" s="4" t="s">
        <v>1</v>
      </c>
      <c r="F42" s="4" t="s">
        <v>7</v>
      </c>
      <c r="G42" s="4" t="s">
        <v>48</v>
      </c>
      <c r="H42" s="3">
        <v>3</v>
      </c>
    </row>
    <row r="43" spans="2:13" ht="17.399999999999999" customHeight="1" x14ac:dyDescent="0.3">
      <c r="B43" s="4">
        <v>100</v>
      </c>
      <c r="C43" s="4">
        <v>50</v>
      </c>
      <c r="D43" s="4" t="s">
        <v>15</v>
      </c>
      <c r="E43" s="4" t="s">
        <v>1</v>
      </c>
      <c r="F43" s="4" t="s">
        <v>7</v>
      </c>
      <c r="G43" s="4" t="s">
        <v>48</v>
      </c>
      <c r="H43" s="3">
        <v>1</v>
      </c>
    </row>
    <row r="44" spans="2:13" ht="17.399999999999999" customHeight="1" x14ac:dyDescent="0.3">
      <c r="B44" s="2">
        <v>100</v>
      </c>
      <c r="C44" s="2">
        <v>25</v>
      </c>
      <c r="D44" s="4" t="s">
        <v>15</v>
      </c>
      <c r="E44" s="4" t="s">
        <v>1</v>
      </c>
      <c r="F44" s="4" t="s">
        <v>7</v>
      </c>
      <c r="G44" s="4" t="s">
        <v>48</v>
      </c>
      <c r="H44" s="60">
        <v>1</v>
      </c>
    </row>
    <row r="45" spans="2:13" ht="17.399999999999999" customHeight="1" x14ac:dyDescent="0.3">
      <c r="B45" s="2">
        <v>100</v>
      </c>
      <c r="C45" s="2">
        <v>16</v>
      </c>
      <c r="D45" s="4" t="s">
        <v>9</v>
      </c>
      <c r="E45" s="4" t="s">
        <v>1</v>
      </c>
      <c r="F45" s="4" t="s">
        <v>7</v>
      </c>
      <c r="G45" s="4" t="s">
        <v>5</v>
      </c>
      <c r="H45" s="60">
        <v>20</v>
      </c>
    </row>
    <row r="46" spans="2:13" ht="17.399999999999999" customHeight="1" x14ac:dyDescent="0.3">
      <c r="B46" s="2">
        <v>100</v>
      </c>
      <c r="C46" s="2">
        <v>16</v>
      </c>
      <c r="D46" s="4" t="s">
        <v>78</v>
      </c>
      <c r="E46" s="4" t="s">
        <v>1</v>
      </c>
      <c r="F46" s="4" t="s">
        <v>7</v>
      </c>
      <c r="G46" s="4" t="s">
        <v>79</v>
      </c>
      <c r="H46" s="60">
        <v>3</v>
      </c>
      <c r="L46" s="24"/>
    </row>
    <row r="47" spans="2:13" ht="17.399999999999999" customHeight="1" x14ac:dyDescent="0.3">
      <c r="B47" s="4">
        <v>100</v>
      </c>
      <c r="C47" s="4">
        <v>10</v>
      </c>
      <c r="D47" s="4" t="s">
        <v>77</v>
      </c>
      <c r="E47" s="4" t="s">
        <v>19</v>
      </c>
      <c r="F47" s="4" t="s">
        <v>7</v>
      </c>
      <c r="G47" s="4" t="s">
        <v>49</v>
      </c>
      <c r="H47" s="60">
        <v>24</v>
      </c>
      <c r="L47" s="24"/>
    </row>
    <row r="48" spans="2:13" ht="17.399999999999999" customHeight="1" x14ac:dyDescent="0.3">
      <c r="B48" s="4">
        <v>220</v>
      </c>
      <c r="C48" s="4">
        <v>25</v>
      </c>
      <c r="D48" s="4" t="s">
        <v>11</v>
      </c>
      <c r="E48" s="4" t="s">
        <v>1</v>
      </c>
      <c r="F48" s="4" t="s">
        <v>7</v>
      </c>
      <c r="G48" s="4" t="s">
        <v>5</v>
      </c>
      <c r="H48" s="3">
        <v>4</v>
      </c>
      <c r="L48" s="24"/>
    </row>
    <row r="49" spans="2:12" ht="17.399999999999999" customHeight="1" x14ac:dyDescent="0.3">
      <c r="B49" s="4">
        <v>220</v>
      </c>
      <c r="C49" s="4">
        <v>16</v>
      </c>
      <c r="D49" s="4" t="s">
        <v>11</v>
      </c>
      <c r="E49" s="4" t="s">
        <v>1</v>
      </c>
      <c r="F49" s="4" t="s">
        <v>7</v>
      </c>
      <c r="G49" s="4" t="s">
        <v>5</v>
      </c>
      <c r="H49" s="3">
        <v>5</v>
      </c>
      <c r="L49" s="24"/>
    </row>
    <row r="50" spans="2:12" ht="17.399999999999999" customHeight="1" x14ac:dyDescent="0.3">
      <c r="B50" s="4">
        <v>220</v>
      </c>
      <c r="C50" s="4">
        <v>200</v>
      </c>
      <c r="D50" s="4" t="s">
        <v>77</v>
      </c>
      <c r="E50" s="4" t="s">
        <v>1</v>
      </c>
      <c r="F50" s="4" t="s">
        <v>7</v>
      </c>
      <c r="G50" s="4" t="s">
        <v>49</v>
      </c>
      <c r="H50" s="3">
        <v>1</v>
      </c>
      <c r="L50" s="24"/>
    </row>
    <row r="51" spans="2:12" ht="17.399999999999999" customHeight="1" x14ac:dyDescent="0.3">
      <c r="B51" s="4">
        <v>220</v>
      </c>
      <c r="C51" s="4">
        <v>200</v>
      </c>
      <c r="D51" s="4" t="s">
        <v>15</v>
      </c>
      <c r="E51" s="4" t="s">
        <v>1</v>
      </c>
      <c r="F51" s="4" t="s">
        <v>7</v>
      </c>
      <c r="G51" s="4" t="s">
        <v>48</v>
      </c>
      <c r="H51" s="3">
        <v>1</v>
      </c>
      <c r="L51" s="24"/>
    </row>
    <row r="52" spans="2:12" ht="17.399999999999999" customHeight="1" x14ac:dyDescent="0.3">
      <c r="B52" s="4">
        <v>220</v>
      </c>
      <c r="C52" s="4">
        <v>25</v>
      </c>
      <c r="D52" s="4" t="s">
        <v>15</v>
      </c>
      <c r="E52" s="4" t="s">
        <v>1</v>
      </c>
      <c r="F52" s="4" t="s">
        <v>7</v>
      </c>
      <c r="G52" s="4" t="s">
        <v>48</v>
      </c>
      <c r="H52" s="3">
        <v>3</v>
      </c>
      <c r="L52" s="24"/>
    </row>
    <row r="53" spans="2:12" ht="17.399999999999999" customHeight="1" x14ac:dyDescent="0.3">
      <c r="B53" s="4">
        <v>220</v>
      </c>
      <c r="C53" s="4">
        <v>6.3</v>
      </c>
      <c r="D53" s="4" t="s">
        <v>78</v>
      </c>
      <c r="E53" s="4" t="s">
        <v>1</v>
      </c>
      <c r="F53" s="4" t="s">
        <v>7</v>
      </c>
      <c r="G53" s="4" t="s">
        <v>79</v>
      </c>
      <c r="H53" s="3">
        <v>1</v>
      </c>
      <c r="L53" s="24"/>
    </row>
    <row r="54" spans="2:12" ht="17.399999999999999" customHeight="1" x14ac:dyDescent="0.3">
      <c r="B54" s="4">
        <v>220</v>
      </c>
      <c r="C54" s="4">
        <v>6.3</v>
      </c>
      <c r="D54" s="4" t="s">
        <v>77</v>
      </c>
      <c r="E54" s="4" t="s">
        <v>1</v>
      </c>
      <c r="F54" s="4" t="s">
        <v>7</v>
      </c>
      <c r="G54" s="4" t="s">
        <v>58</v>
      </c>
      <c r="H54" s="3">
        <v>1</v>
      </c>
      <c r="L54" s="24"/>
    </row>
    <row r="55" spans="2:12" ht="17.399999999999999" customHeight="1" x14ac:dyDescent="0.3">
      <c r="B55" s="4">
        <v>470</v>
      </c>
      <c r="C55" s="4">
        <v>40</v>
      </c>
      <c r="D55" s="4" t="s">
        <v>11</v>
      </c>
      <c r="E55" s="4" t="s">
        <v>1</v>
      </c>
      <c r="F55" s="4" t="s">
        <v>7</v>
      </c>
      <c r="G55" s="4" t="s">
        <v>5</v>
      </c>
      <c r="H55" s="3">
        <v>5</v>
      </c>
      <c r="L55" s="24"/>
    </row>
    <row r="56" spans="2:12" ht="17.399999999999999" customHeight="1" x14ac:dyDescent="0.3">
      <c r="B56" s="4">
        <v>470</v>
      </c>
      <c r="C56" s="4">
        <v>16</v>
      </c>
      <c r="D56" s="4" t="s">
        <v>11</v>
      </c>
      <c r="E56" s="4" t="s">
        <v>1</v>
      </c>
      <c r="F56" s="4" t="s">
        <v>7</v>
      </c>
      <c r="G56" s="4" t="s">
        <v>5</v>
      </c>
      <c r="H56" s="3">
        <v>5</v>
      </c>
      <c r="L56" s="24"/>
    </row>
    <row r="57" spans="2:12" ht="17.399999999999999" customHeight="1" x14ac:dyDescent="0.3">
      <c r="B57" s="4">
        <v>470</v>
      </c>
      <c r="C57" s="4">
        <v>40</v>
      </c>
      <c r="D57" s="4" t="s">
        <v>77</v>
      </c>
      <c r="E57" s="4" t="s">
        <v>1</v>
      </c>
      <c r="F57" s="4" t="s">
        <v>7</v>
      </c>
      <c r="G57" s="4" t="s">
        <v>49</v>
      </c>
      <c r="H57" s="5">
        <v>2</v>
      </c>
      <c r="L57" s="24"/>
    </row>
    <row r="58" spans="2:12" ht="17.399999999999999" customHeight="1" x14ac:dyDescent="0.3">
      <c r="B58" s="4">
        <v>470</v>
      </c>
      <c r="C58" s="4">
        <v>50</v>
      </c>
      <c r="D58" s="4" t="s">
        <v>15</v>
      </c>
      <c r="E58" s="4" t="s">
        <v>1</v>
      </c>
      <c r="F58" s="4" t="s">
        <v>7</v>
      </c>
      <c r="G58" s="4" t="s">
        <v>48</v>
      </c>
      <c r="H58" s="5">
        <v>3</v>
      </c>
      <c r="L58" s="24"/>
    </row>
    <row r="59" spans="2:12" ht="17.399999999999999" customHeight="1" x14ac:dyDescent="0.3">
      <c r="B59" s="4">
        <v>470</v>
      </c>
      <c r="C59" s="4">
        <v>25</v>
      </c>
      <c r="D59" s="4" t="s">
        <v>15</v>
      </c>
      <c r="E59" s="4" t="s">
        <v>1</v>
      </c>
      <c r="F59" s="4" t="s">
        <v>7</v>
      </c>
      <c r="G59" s="4" t="s">
        <v>48</v>
      </c>
      <c r="H59" s="5">
        <v>3</v>
      </c>
      <c r="L59" s="24"/>
    </row>
    <row r="60" spans="2:12" ht="17.399999999999999" customHeight="1" x14ac:dyDescent="0.3">
      <c r="B60" s="4">
        <v>470</v>
      </c>
      <c r="C60" s="4">
        <v>10</v>
      </c>
      <c r="D60" s="4" t="s">
        <v>83</v>
      </c>
      <c r="E60" s="4" t="s">
        <v>1</v>
      </c>
      <c r="F60" s="4" t="s">
        <v>7</v>
      </c>
      <c r="G60" s="4" t="s">
        <v>58</v>
      </c>
      <c r="H60" s="5">
        <v>1</v>
      </c>
      <c r="L60" s="24"/>
    </row>
    <row r="61" spans="2:12" ht="17.399999999999999" customHeight="1" x14ac:dyDescent="0.3">
      <c r="B61" s="4">
        <v>1000</v>
      </c>
      <c r="C61" s="4">
        <v>40</v>
      </c>
      <c r="D61" s="4" t="s">
        <v>11</v>
      </c>
      <c r="E61" s="4" t="s">
        <v>1</v>
      </c>
      <c r="F61" s="4" t="s">
        <v>7</v>
      </c>
      <c r="G61" s="4" t="s">
        <v>5</v>
      </c>
      <c r="H61" s="3">
        <v>5</v>
      </c>
      <c r="L61" s="24"/>
    </row>
    <row r="62" spans="2:12" ht="17.399999999999999" customHeight="1" x14ac:dyDescent="0.3">
      <c r="B62" s="4">
        <v>1000</v>
      </c>
      <c r="C62" s="4">
        <v>25</v>
      </c>
      <c r="D62" s="4" t="s">
        <v>9</v>
      </c>
      <c r="E62" s="4" t="s">
        <v>1</v>
      </c>
      <c r="F62" s="4" t="s">
        <v>7</v>
      </c>
      <c r="G62" s="4" t="s">
        <v>5</v>
      </c>
      <c r="H62" s="3">
        <v>5</v>
      </c>
      <c r="L62" s="24"/>
    </row>
    <row r="63" spans="2:12" ht="17.399999999999999" customHeight="1" x14ac:dyDescent="0.3">
      <c r="B63" s="4">
        <v>1000</v>
      </c>
      <c r="C63" s="4">
        <v>25</v>
      </c>
      <c r="D63" s="4" t="s">
        <v>15</v>
      </c>
      <c r="E63" s="4" t="s">
        <v>1</v>
      </c>
      <c r="F63" s="4" t="s">
        <v>7</v>
      </c>
      <c r="G63" s="4" t="s">
        <v>48</v>
      </c>
      <c r="H63" s="3">
        <v>3</v>
      </c>
      <c r="L63" s="24"/>
    </row>
    <row r="64" spans="2:12" ht="17.399999999999999" customHeight="1" x14ac:dyDescent="0.3">
      <c r="B64" s="4">
        <v>1000</v>
      </c>
      <c r="C64" s="4">
        <v>16</v>
      </c>
      <c r="D64" s="4" t="s">
        <v>15</v>
      </c>
      <c r="E64" s="4" t="s">
        <v>1</v>
      </c>
      <c r="F64" s="4" t="s">
        <v>7</v>
      </c>
      <c r="G64" s="4" t="s">
        <v>48</v>
      </c>
      <c r="H64" s="3">
        <v>3</v>
      </c>
      <c r="L64" s="24"/>
    </row>
    <row r="65" spans="2:12" ht="17.399999999999999" customHeight="1" x14ac:dyDescent="0.3">
      <c r="B65" s="4">
        <v>1000</v>
      </c>
      <c r="C65" s="4">
        <v>25</v>
      </c>
      <c r="D65" s="4" t="s">
        <v>77</v>
      </c>
      <c r="E65" s="4" t="s">
        <v>1</v>
      </c>
      <c r="F65" s="4" t="s">
        <v>7</v>
      </c>
      <c r="G65" s="4" t="s">
        <v>49</v>
      </c>
      <c r="H65" s="5">
        <v>1</v>
      </c>
      <c r="L65" s="24"/>
    </row>
    <row r="66" spans="2:12" ht="17.399999999999999" customHeight="1" x14ac:dyDescent="0.3">
      <c r="B66" s="4">
        <v>2000</v>
      </c>
      <c r="C66" s="4">
        <v>25</v>
      </c>
      <c r="D66" s="4" t="s">
        <v>11</v>
      </c>
      <c r="E66" s="4" t="s">
        <v>1</v>
      </c>
      <c r="F66" s="4" t="s">
        <v>7</v>
      </c>
      <c r="G66" s="4" t="s">
        <v>55</v>
      </c>
      <c r="H66" s="5">
        <v>1</v>
      </c>
      <c r="L66" s="24"/>
    </row>
    <row r="67" spans="2:12" ht="17.399999999999999" customHeight="1" x14ac:dyDescent="0.3">
      <c r="B67" s="4">
        <v>2200</v>
      </c>
      <c r="C67" s="4">
        <v>16</v>
      </c>
      <c r="D67" s="4" t="s">
        <v>9</v>
      </c>
      <c r="E67" s="4" t="s">
        <v>1</v>
      </c>
      <c r="F67" s="4" t="s">
        <v>7</v>
      </c>
      <c r="G67" s="4" t="s">
        <v>5</v>
      </c>
      <c r="H67" s="5">
        <v>10</v>
      </c>
      <c r="L67" s="24"/>
    </row>
    <row r="68" spans="2:12" ht="17.399999999999999" customHeight="1" x14ac:dyDescent="0.3">
      <c r="B68" s="4">
        <v>2200</v>
      </c>
      <c r="C68" s="4">
        <v>25</v>
      </c>
      <c r="D68" s="4" t="s">
        <v>77</v>
      </c>
      <c r="E68" s="4" t="s">
        <v>1</v>
      </c>
      <c r="F68" s="4" t="s">
        <v>7</v>
      </c>
      <c r="G68" s="4" t="s">
        <v>49</v>
      </c>
      <c r="H68" s="5">
        <v>1</v>
      </c>
      <c r="L68" s="24"/>
    </row>
    <row r="69" spans="2:12" ht="17.399999999999999" customHeight="1" x14ac:dyDescent="0.3">
      <c r="B69" s="4">
        <v>2200</v>
      </c>
      <c r="C69" s="4">
        <v>16</v>
      </c>
      <c r="D69" s="4" t="s">
        <v>77</v>
      </c>
      <c r="E69" s="4" t="s">
        <v>1</v>
      </c>
      <c r="F69" s="4" t="s">
        <v>7</v>
      </c>
      <c r="G69" s="4" t="s">
        <v>49</v>
      </c>
      <c r="H69" s="3">
        <v>1</v>
      </c>
      <c r="L69" s="24"/>
    </row>
    <row r="70" spans="2:12" ht="17.399999999999999" customHeight="1" x14ac:dyDescent="0.3">
      <c r="B70" s="4">
        <v>2200</v>
      </c>
      <c r="C70" s="4">
        <v>25</v>
      </c>
      <c r="D70" s="4" t="s">
        <v>15</v>
      </c>
      <c r="E70" s="4" t="s">
        <v>1</v>
      </c>
      <c r="F70" s="4" t="s">
        <v>7</v>
      </c>
      <c r="G70" s="4" t="s">
        <v>48</v>
      </c>
      <c r="H70" s="5">
        <v>3</v>
      </c>
      <c r="L70" s="24"/>
    </row>
    <row r="71" spans="2:12" ht="17.399999999999999" customHeight="1" x14ac:dyDescent="0.3">
      <c r="B71" s="4">
        <v>2200</v>
      </c>
      <c r="C71" s="4">
        <v>6.3</v>
      </c>
      <c r="D71" s="4" t="s">
        <v>83</v>
      </c>
      <c r="E71" s="4" t="s">
        <v>1</v>
      </c>
      <c r="F71" s="4" t="s">
        <v>7</v>
      </c>
      <c r="G71" s="4" t="s">
        <v>58</v>
      </c>
      <c r="H71" s="5">
        <v>1</v>
      </c>
      <c r="L71" s="24"/>
    </row>
    <row r="72" spans="2:12" ht="17.399999999999999" customHeight="1" x14ac:dyDescent="0.3">
      <c r="B72" s="4">
        <v>2200</v>
      </c>
      <c r="C72" s="4">
        <v>16</v>
      </c>
      <c r="D72" s="4" t="s">
        <v>84</v>
      </c>
      <c r="E72" s="4" t="s">
        <v>1</v>
      </c>
      <c r="F72" s="4" t="s">
        <v>7</v>
      </c>
      <c r="G72" s="4" t="s">
        <v>55</v>
      </c>
      <c r="H72" s="5">
        <v>1</v>
      </c>
      <c r="L72" s="24"/>
    </row>
    <row r="73" spans="2:12" ht="17.399999999999999" customHeight="1" x14ac:dyDescent="0.3">
      <c r="B73" s="4">
        <v>4700</v>
      </c>
      <c r="C73" s="4">
        <v>10</v>
      </c>
      <c r="D73" s="4" t="s">
        <v>77</v>
      </c>
      <c r="E73" s="4" t="s">
        <v>1</v>
      </c>
      <c r="F73" s="4" t="s">
        <v>7</v>
      </c>
      <c r="G73" s="4" t="s">
        <v>49</v>
      </c>
      <c r="H73" s="5">
        <v>1</v>
      </c>
      <c r="L73" s="24"/>
    </row>
    <row r="74" spans="2:12" ht="17.399999999999999" customHeight="1" x14ac:dyDescent="0.3">
      <c r="B74" s="4">
        <v>4700</v>
      </c>
      <c r="C74" s="4">
        <v>16</v>
      </c>
      <c r="D74" s="4" t="s">
        <v>77</v>
      </c>
      <c r="E74" s="4" t="s">
        <v>1</v>
      </c>
      <c r="F74" s="4" t="s">
        <v>7</v>
      </c>
      <c r="G74" s="4" t="s">
        <v>49</v>
      </c>
      <c r="H74" s="5">
        <v>1</v>
      </c>
      <c r="L74" s="24"/>
    </row>
    <row r="75" spans="2:12" ht="17.399999999999999" customHeight="1" x14ac:dyDescent="0.3">
      <c r="B75" s="4">
        <v>4700</v>
      </c>
      <c r="C75" s="4">
        <v>2000</v>
      </c>
      <c r="D75" s="4" t="s">
        <v>77</v>
      </c>
      <c r="E75" s="4" t="s">
        <v>18</v>
      </c>
      <c r="F75" s="4" t="s">
        <v>85</v>
      </c>
      <c r="G75" s="4" t="s">
        <v>49</v>
      </c>
      <c r="H75" s="5">
        <v>60</v>
      </c>
      <c r="L75" s="24"/>
    </row>
    <row r="76" spans="2:12" ht="17.399999999999999" customHeight="1" x14ac:dyDescent="0.3">
      <c r="B76" s="4" t="s">
        <v>86</v>
      </c>
      <c r="C76" s="4" t="s">
        <v>86</v>
      </c>
      <c r="D76" s="4" t="s">
        <v>83</v>
      </c>
      <c r="E76" s="4" t="s">
        <v>18</v>
      </c>
      <c r="F76" s="4" t="s">
        <v>85</v>
      </c>
      <c r="G76" s="4" t="s">
        <v>57</v>
      </c>
      <c r="H76" s="5">
        <v>23</v>
      </c>
      <c r="L76" s="24"/>
    </row>
    <row r="77" spans="2:12" ht="17.399999999999999" customHeight="1" x14ac:dyDescent="0.3">
      <c r="B77" s="4" t="s">
        <v>86</v>
      </c>
      <c r="C77" s="4" t="s">
        <v>86</v>
      </c>
      <c r="D77" s="4" t="s">
        <v>83</v>
      </c>
      <c r="E77" s="4" t="s">
        <v>18</v>
      </c>
      <c r="F77" s="4" t="s">
        <v>85</v>
      </c>
      <c r="G77" s="4" t="s">
        <v>57</v>
      </c>
      <c r="H77" s="5">
        <v>19</v>
      </c>
      <c r="L77" s="24"/>
    </row>
    <row r="78" spans="2:12" ht="17.399999999999999" customHeight="1" x14ac:dyDescent="0.3">
      <c r="B78" s="4" t="s">
        <v>86</v>
      </c>
      <c r="C78" s="4" t="s">
        <v>86</v>
      </c>
      <c r="D78" s="4" t="s">
        <v>83</v>
      </c>
      <c r="E78" s="4" t="s">
        <v>18</v>
      </c>
      <c r="F78" s="4" t="s">
        <v>85</v>
      </c>
      <c r="G78" s="4" t="s">
        <v>57</v>
      </c>
      <c r="H78" s="5">
        <v>28</v>
      </c>
      <c r="L78" s="24"/>
    </row>
    <row r="79" spans="2:12" ht="17.399999999999999" customHeight="1" x14ac:dyDescent="0.3">
      <c r="B79" s="4" t="s">
        <v>86</v>
      </c>
      <c r="C79" s="4" t="s">
        <v>86</v>
      </c>
      <c r="D79" s="4" t="s">
        <v>83</v>
      </c>
      <c r="E79" s="4" t="s">
        <v>18</v>
      </c>
      <c r="F79" s="4" t="s">
        <v>85</v>
      </c>
      <c r="G79" s="4" t="s">
        <v>5</v>
      </c>
      <c r="H79" s="5">
        <v>15</v>
      </c>
      <c r="L79" s="24"/>
    </row>
    <row r="80" spans="2:12" ht="17.399999999999999" customHeight="1" x14ac:dyDescent="0.3">
      <c r="B80" s="4" t="s">
        <v>86</v>
      </c>
      <c r="C80" s="4" t="s">
        <v>86</v>
      </c>
      <c r="D80" s="4" t="s">
        <v>83</v>
      </c>
      <c r="E80" s="4" t="s">
        <v>18</v>
      </c>
      <c r="F80" s="4" t="s">
        <v>85</v>
      </c>
      <c r="G80" s="4" t="s">
        <v>87</v>
      </c>
      <c r="H80" s="5">
        <v>22</v>
      </c>
      <c r="L80" s="24"/>
    </row>
    <row r="81" spans="2:12" ht="17.399999999999999" customHeight="1" x14ac:dyDescent="0.3">
      <c r="B81" s="4" t="s">
        <v>86</v>
      </c>
      <c r="C81" s="4" t="s">
        <v>86</v>
      </c>
      <c r="D81" s="4" t="s">
        <v>83</v>
      </c>
      <c r="E81" s="4" t="s">
        <v>18</v>
      </c>
      <c r="F81" s="4" t="s">
        <v>85</v>
      </c>
      <c r="G81" s="4" t="s">
        <v>58</v>
      </c>
      <c r="H81" s="5">
        <v>23</v>
      </c>
      <c r="L81" s="24"/>
    </row>
    <row r="82" spans="2:12" ht="17.399999999999999" customHeight="1" x14ac:dyDescent="0.3">
      <c r="B82" s="4" t="s">
        <v>86</v>
      </c>
      <c r="C82" s="4" t="s">
        <v>86</v>
      </c>
      <c r="D82" s="4" t="s">
        <v>83</v>
      </c>
      <c r="E82" s="4" t="s">
        <v>18</v>
      </c>
      <c r="F82" s="4" t="s">
        <v>85</v>
      </c>
      <c r="G82" s="4" t="s">
        <v>58</v>
      </c>
      <c r="H82" s="5">
        <v>47</v>
      </c>
      <c r="L82" s="24"/>
    </row>
    <row r="83" spans="2:12" ht="17.399999999999999" customHeight="1" x14ac:dyDescent="0.3">
      <c r="B83" s="4"/>
      <c r="C83" s="4"/>
      <c r="D83" s="4"/>
      <c r="E83" s="4" t="s">
        <v>18</v>
      </c>
      <c r="F83" s="4" t="s">
        <v>85</v>
      </c>
      <c r="G83" s="4"/>
      <c r="H83" s="5">
        <v>9</v>
      </c>
      <c r="L83" s="24"/>
    </row>
    <row r="84" spans="2:12" ht="17.399999999999999" customHeight="1" x14ac:dyDescent="0.3">
      <c r="B84" s="4"/>
      <c r="C84" s="4"/>
      <c r="D84" s="4"/>
      <c r="E84" s="4"/>
      <c r="F84" s="4"/>
      <c r="G84" s="4"/>
      <c r="H84" s="5">
        <v>0</v>
      </c>
      <c r="L84" s="24"/>
    </row>
    <row r="85" spans="2:12" ht="17.399999999999999" customHeight="1" x14ac:dyDescent="0.3">
      <c r="B85" s="4"/>
      <c r="C85" s="4"/>
      <c r="D85" s="4"/>
      <c r="E85" s="4"/>
      <c r="F85" s="4"/>
      <c r="G85" s="4"/>
      <c r="H85" s="5">
        <v>0</v>
      </c>
      <c r="L85" s="24"/>
    </row>
    <row r="86" spans="2:12" ht="17.399999999999999" customHeight="1" x14ac:dyDescent="0.3">
      <c r="B86" s="4"/>
      <c r="C86" s="4"/>
      <c r="D86" s="4"/>
      <c r="E86" s="4"/>
      <c r="F86" s="4"/>
      <c r="G86" s="4"/>
      <c r="H86" s="5">
        <v>0</v>
      </c>
      <c r="L86" s="24"/>
    </row>
    <row r="87" spans="2:12" ht="17.399999999999999" customHeight="1" x14ac:dyDescent="0.3">
      <c r="B87" s="4"/>
      <c r="C87" s="4"/>
      <c r="D87" s="4"/>
      <c r="E87" s="4"/>
      <c r="F87" s="4"/>
      <c r="G87" s="4"/>
      <c r="H87" s="5">
        <v>0</v>
      </c>
      <c r="L87" s="24"/>
    </row>
    <row r="88" spans="2:12" ht="17.399999999999999" customHeight="1" x14ac:dyDescent="0.3">
      <c r="B88" s="4"/>
      <c r="C88" s="4"/>
      <c r="D88" s="4"/>
      <c r="E88" s="4"/>
      <c r="F88" s="4"/>
      <c r="G88" s="4"/>
      <c r="H88" s="5">
        <v>0</v>
      </c>
      <c r="L88" s="24"/>
    </row>
    <row r="89" spans="2:12" ht="17.399999999999999" customHeight="1" x14ac:dyDescent="0.3">
      <c r="B89" s="4"/>
      <c r="C89" s="4"/>
      <c r="D89" s="4"/>
      <c r="E89" s="4"/>
      <c r="F89" s="4"/>
      <c r="G89" s="4"/>
      <c r="H89" s="5">
        <v>0</v>
      </c>
      <c r="L89" s="24"/>
    </row>
    <row r="90" spans="2:12" ht="17.399999999999999" customHeight="1" x14ac:dyDescent="0.3">
      <c r="B90" s="4"/>
      <c r="C90" s="4"/>
      <c r="D90" s="4"/>
      <c r="E90" s="4"/>
      <c r="F90" s="4"/>
      <c r="G90" s="4"/>
      <c r="H90" s="5">
        <v>0</v>
      </c>
      <c r="L90" s="24"/>
    </row>
    <row r="91" spans="2:12" ht="17.399999999999999" customHeight="1" x14ac:dyDescent="0.3">
      <c r="B91" s="4"/>
      <c r="C91" s="4"/>
      <c r="D91" s="4"/>
      <c r="E91" s="4"/>
      <c r="F91" s="4"/>
      <c r="G91" s="4"/>
      <c r="H91" s="5">
        <v>0</v>
      </c>
      <c r="L91" s="24"/>
    </row>
    <row r="92" spans="2:12" ht="17.399999999999999" customHeight="1" x14ac:dyDescent="0.3">
      <c r="B92" s="4"/>
      <c r="C92" s="4"/>
      <c r="D92" s="4"/>
      <c r="E92" s="4"/>
      <c r="F92" s="4"/>
      <c r="G92" s="4"/>
      <c r="H92" s="5">
        <v>0</v>
      </c>
      <c r="L92" s="24"/>
    </row>
    <row r="93" spans="2:12" ht="17.399999999999999" customHeight="1" x14ac:dyDescent="0.3">
      <c r="B93" s="4"/>
      <c r="C93" s="4"/>
      <c r="D93" s="4"/>
      <c r="E93" s="4"/>
      <c r="F93" s="4"/>
      <c r="G93" s="4"/>
      <c r="H93" s="5">
        <v>0</v>
      </c>
      <c r="L93" s="24"/>
    </row>
    <row r="94" spans="2:12" ht="17.399999999999999" customHeight="1" x14ac:dyDescent="0.3">
      <c r="B94" s="4"/>
      <c r="C94" s="4"/>
      <c r="D94" s="4"/>
      <c r="E94" s="4"/>
      <c r="F94" s="4"/>
      <c r="G94" s="4"/>
      <c r="H94" s="5">
        <v>0</v>
      </c>
      <c r="L94" s="24"/>
    </row>
    <row r="95" spans="2:12" ht="17.399999999999999" customHeight="1" x14ac:dyDescent="0.3">
      <c r="B95" s="4"/>
      <c r="C95" s="4"/>
      <c r="D95" s="4"/>
      <c r="E95" s="4"/>
      <c r="F95" s="4"/>
      <c r="G95" s="4"/>
      <c r="H95" s="5">
        <v>0</v>
      </c>
      <c r="L95" s="24"/>
    </row>
    <row r="96" spans="2:12" ht="17.399999999999999" customHeight="1" x14ac:dyDescent="0.3">
      <c r="B96" s="4"/>
      <c r="C96" s="4"/>
      <c r="D96" s="4"/>
      <c r="E96" s="4"/>
      <c r="F96" s="4"/>
      <c r="G96" s="4"/>
      <c r="H96" s="5">
        <v>0</v>
      </c>
      <c r="L96" s="24"/>
    </row>
    <row r="97" spans="2:12" ht="17.399999999999999" customHeight="1" x14ac:dyDescent="0.3">
      <c r="B97" s="4"/>
      <c r="C97" s="4"/>
      <c r="D97" s="4"/>
      <c r="E97" s="4"/>
      <c r="F97" s="4"/>
      <c r="G97" s="4"/>
      <c r="H97" s="5">
        <v>0</v>
      </c>
      <c r="L97" s="24"/>
    </row>
    <row r="98" spans="2:12" ht="17.399999999999999" customHeight="1" x14ac:dyDescent="0.3">
      <c r="B98" s="4"/>
      <c r="C98" s="4"/>
      <c r="D98" s="4"/>
      <c r="E98" s="4"/>
      <c r="F98" s="4"/>
      <c r="G98" s="4"/>
      <c r="H98" s="5">
        <v>0</v>
      </c>
      <c r="L98" s="24"/>
    </row>
    <row r="99" spans="2:12" ht="17.399999999999999" customHeight="1" x14ac:dyDescent="0.3">
      <c r="B99" s="4"/>
      <c r="C99" s="4"/>
      <c r="D99" s="4"/>
      <c r="E99" s="4"/>
      <c r="F99" s="4"/>
      <c r="G99" s="4"/>
      <c r="H99" s="5">
        <v>0</v>
      </c>
      <c r="L99" s="24"/>
    </row>
    <row r="100" spans="2:12" ht="17.399999999999999" customHeight="1" x14ac:dyDescent="0.3">
      <c r="B100" s="4"/>
      <c r="C100" s="4"/>
      <c r="D100" s="4"/>
      <c r="E100" s="4"/>
      <c r="F100" s="4"/>
      <c r="G100" s="4"/>
      <c r="H100" s="5">
        <v>0</v>
      </c>
      <c r="L100" s="24"/>
    </row>
    <row r="101" spans="2:12" ht="17.399999999999999" customHeight="1" x14ac:dyDescent="0.3">
      <c r="B101" s="4"/>
      <c r="C101" s="4"/>
      <c r="D101" s="4"/>
      <c r="E101" s="4"/>
      <c r="F101" s="4"/>
      <c r="G101" s="4"/>
      <c r="H101" s="5">
        <v>0</v>
      </c>
      <c r="L101" s="24"/>
    </row>
    <row r="102" spans="2:12" ht="17.399999999999999" customHeight="1" x14ac:dyDescent="0.3">
      <c r="B102" s="2"/>
      <c r="C102" s="2"/>
      <c r="D102" s="2"/>
      <c r="E102" s="2"/>
      <c r="F102" s="2"/>
      <c r="G102" s="2"/>
      <c r="H102" s="3">
        <v>0</v>
      </c>
      <c r="L102" s="24"/>
    </row>
    <row r="103" spans="2:12" ht="17.399999999999999" customHeight="1" x14ac:dyDescent="0.3">
      <c r="B103" s="4"/>
      <c r="C103" s="4"/>
      <c r="D103" s="4"/>
      <c r="E103" s="4"/>
      <c r="F103" s="4"/>
      <c r="G103" s="4"/>
      <c r="H103" s="5">
        <v>0</v>
      </c>
      <c r="L103" s="24"/>
    </row>
    <row r="104" spans="2:12" ht="17.399999999999999" customHeight="1" x14ac:dyDescent="0.3">
      <c r="B104" s="4"/>
      <c r="C104" s="4"/>
      <c r="D104" s="4"/>
      <c r="E104" s="4"/>
      <c r="F104" s="4"/>
      <c r="G104" s="4"/>
      <c r="H104" s="5">
        <v>0</v>
      </c>
      <c r="L104" s="24"/>
    </row>
    <row r="105" spans="2:12" ht="17.399999999999999" customHeight="1" x14ac:dyDescent="0.3">
      <c r="B105" s="4"/>
      <c r="C105" s="4"/>
      <c r="D105" s="4"/>
      <c r="E105" s="4"/>
      <c r="F105" s="4"/>
      <c r="G105" s="4"/>
      <c r="H105" s="5">
        <v>0</v>
      </c>
      <c r="L105" s="24"/>
    </row>
    <row r="106" spans="2:12" ht="17.399999999999999" customHeight="1" x14ac:dyDescent="0.3">
      <c r="B106" s="4"/>
      <c r="C106" s="4"/>
      <c r="D106" s="4"/>
      <c r="E106" s="4"/>
      <c r="F106" s="4"/>
      <c r="G106" s="4"/>
      <c r="H106" s="5">
        <v>0</v>
      </c>
      <c r="L106" s="24"/>
    </row>
    <row r="107" spans="2:12" ht="17.399999999999999" customHeight="1" x14ac:dyDescent="0.3">
      <c r="B107" s="4"/>
      <c r="C107" s="4"/>
      <c r="D107" s="4"/>
      <c r="E107" s="4"/>
      <c r="F107" s="4"/>
      <c r="G107" s="4"/>
      <c r="H107" s="5">
        <v>0</v>
      </c>
      <c r="L107" s="24"/>
    </row>
    <row r="108" spans="2:12" ht="17.399999999999999" customHeight="1" x14ac:dyDescent="0.3">
      <c r="B108" s="4"/>
      <c r="C108" s="4"/>
      <c r="D108" s="4"/>
      <c r="E108" s="4"/>
      <c r="F108" s="4"/>
      <c r="G108" s="4"/>
      <c r="H108" s="5">
        <v>0</v>
      </c>
      <c r="L108" s="24"/>
    </row>
    <row r="109" spans="2:12" ht="17.399999999999999" customHeight="1" x14ac:dyDescent="0.3">
      <c r="B109" s="4"/>
      <c r="C109" s="4"/>
      <c r="D109" s="4"/>
      <c r="E109" s="4"/>
      <c r="F109" s="4"/>
      <c r="G109" s="4"/>
      <c r="H109" s="5">
        <v>0</v>
      </c>
      <c r="L109" s="24"/>
    </row>
    <row r="110" spans="2:12" ht="17.399999999999999" customHeight="1" x14ac:dyDescent="0.3">
      <c r="B110" s="4"/>
      <c r="C110" s="4"/>
      <c r="D110" s="4"/>
      <c r="E110" s="4"/>
      <c r="F110" s="4"/>
      <c r="G110" s="4"/>
      <c r="H110" s="5">
        <v>0</v>
      </c>
      <c r="L110" s="24"/>
    </row>
    <row r="111" spans="2:12" ht="17.399999999999999" customHeight="1" x14ac:dyDescent="0.3">
      <c r="B111" s="4"/>
      <c r="C111" s="4"/>
      <c r="D111" s="4"/>
      <c r="E111" s="4"/>
      <c r="F111" s="4"/>
      <c r="G111" s="4"/>
      <c r="H111" s="5">
        <v>0</v>
      </c>
      <c r="L111" s="24"/>
    </row>
    <row r="112" spans="2:12" ht="17.399999999999999" customHeight="1" x14ac:dyDescent="0.3">
      <c r="B112" s="4"/>
      <c r="C112" s="4"/>
      <c r="D112" s="4"/>
      <c r="E112" s="4"/>
      <c r="F112" s="4"/>
      <c r="G112" s="4"/>
      <c r="H112" s="5">
        <v>0</v>
      </c>
      <c r="L112" s="24"/>
    </row>
    <row r="113" spans="2:12" ht="17.399999999999999" customHeight="1" x14ac:dyDescent="0.3">
      <c r="B113" s="4"/>
      <c r="C113" s="4"/>
      <c r="D113" s="4"/>
      <c r="E113" s="4"/>
      <c r="F113" s="4"/>
      <c r="G113" s="4"/>
      <c r="H113" s="5">
        <v>0</v>
      </c>
      <c r="L113" s="24"/>
    </row>
    <row r="114" spans="2:12" ht="17.399999999999999" customHeight="1" x14ac:dyDescent="0.3">
      <c r="B114" s="4"/>
      <c r="C114" s="4"/>
      <c r="D114" s="4"/>
      <c r="E114" s="4"/>
      <c r="F114" s="4"/>
      <c r="G114" s="4"/>
      <c r="H114" s="5">
        <v>0</v>
      </c>
      <c r="L114" s="24"/>
    </row>
    <row r="115" spans="2:12" ht="17.399999999999999" customHeight="1" x14ac:dyDescent="0.3">
      <c r="B115" s="4"/>
      <c r="C115" s="4"/>
      <c r="D115" s="4"/>
      <c r="E115" s="4"/>
      <c r="F115" s="4"/>
      <c r="G115" s="4"/>
      <c r="H115" s="5">
        <v>0</v>
      </c>
      <c r="L115" s="24"/>
    </row>
    <row r="116" spans="2:12" ht="17.399999999999999" customHeight="1" x14ac:dyDescent="0.3">
      <c r="B116" s="4"/>
      <c r="C116" s="4"/>
      <c r="D116" s="4"/>
      <c r="E116" s="4"/>
      <c r="F116" s="4"/>
      <c r="G116" s="4"/>
      <c r="H116" s="5">
        <v>0</v>
      </c>
      <c r="L116" s="24"/>
    </row>
    <row r="117" spans="2:12" ht="17.399999999999999" customHeight="1" x14ac:dyDescent="0.3">
      <c r="B117" s="4"/>
      <c r="C117" s="4"/>
      <c r="D117" s="4"/>
      <c r="E117" s="4"/>
      <c r="F117" s="4"/>
      <c r="G117" s="4"/>
      <c r="H117" s="5">
        <v>0</v>
      </c>
      <c r="L117" s="24"/>
    </row>
    <row r="118" spans="2:12" ht="17.399999999999999" customHeight="1" x14ac:dyDescent="0.3">
      <c r="B118" s="4"/>
      <c r="C118" s="4"/>
      <c r="D118" s="4"/>
      <c r="E118" s="4"/>
      <c r="F118" s="4"/>
      <c r="G118" s="4"/>
      <c r="H118" s="5">
        <v>0</v>
      </c>
      <c r="L118" s="24"/>
    </row>
    <row r="119" spans="2:12" ht="17.399999999999999" customHeight="1" x14ac:dyDescent="0.3">
      <c r="B119" s="4"/>
      <c r="C119" s="4"/>
      <c r="D119" s="4"/>
      <c r="E119" s="4"/>
      <c r="F119" s="4"/>
      <c r="G119" s="4"/>
      <c r="H119" s="5">
        <v>0</v>
      </c>
      <c r="L119" s="24"/>
    </row>
    <row r="120" spans="2:12" ht="17.399999999999999" customHeight="1" x14ac:dyDescent="0.3">
      <c r="B120" s="4"/>
      <c r="C120" s="4"/>
      <c r="D120" s="4"/>
      <c r="E120" s="4"/>
      <c r="F120" s="4"/>
      <c r="G120" s="4"/>
      <c r="H120" s="5">
        <v>0</v>
      </c>
      <c r="L120" s="24"/>
    </row>
    <row r="121" spans="2:12" ht="17.399999999999999" customHeight="1" x14ac:dyDescent="0.3">
      <c r="B121" s="4"/>
      <c r="C121" s="4"/>
      <c r="D121" s="4"/>
      <c r="E121" s="4"/>
      <c r="F121" s="4"/>
      <c r="G121" s="4"/>
      <c r="H121" s="5">
        <v>0</v>
      </c>
      <c r="L121" s="24"/>
    </row>
    <row r="122" spans="2:12" ht="17.399999999999999" customHeight="1" x14ac:dyDescent="0.3">
      <c r="B122" s="4"/>
      <c r="C122" s="4"/>
      <c r="D122" s="4"/>
      <c r="E122" s="4"/>
      <c r="F122" s="4"/>
      <c r="G122" s="4"/>
      <c r="H122" s="5">
        <v>0</v>
      </c>
      <c r="L122" s="24"/>
    </row>
    <row r="123" spans="2:12" ht="17.399999999999999" customHeight="1" x14ac:dyDescent="0.3">
      <c r="B123" s="4"/>
      <c r="C123" s="4"/>
      <c r="D123" s="4"/>
      <c r="E123" s="4"/>
      <c r="F123" s="4"/>
      <c r="G123" s="4"/>
      <c r="H123" s="5">
        <v>0</v>
      </c>
      <c r="L123" s="24"/>
    </row>
    <row r="124" spans="2:12" ht="17.399999999999999" customHeight="1" x14ac:dyDescent="0.3">
      <c r="B124" s="4"/>
      <c r="C124" s="4"/>
      <c r="D124" s="4"/>
      <c r="E124" s="4"/>
      <c r="F124" s="4"/>
      <c r="G124" s="4"/>
      <c r="H124" s="5">
        <v>0</v>
      </c>
      <c r="L124" s="24"/>
    </row>
    <row r="125" spans="2:12" ht="17.399999999999999" customHeight="1" x14ac:dyDescent="0.3">
      <c r="B125" s="4"/>
      <c r="C125" s="4"/>
      <c r="D125" s="4"/>
      <c r="E125" s="4"/>
      <c r="F125" s="4"/>
      <c r="G125" s="4"/>
      <c r="H125" s="5">
        <v>0</v>
      </c>
      <c r="L125" s="24"/>
    </row>
    <row r="126" spans="2:12" ht="17.399999999999999" customHeight="1" x14ac:dyDescent="0.3">
      <c r="B126" s="4"/>
      <c r="C126" s="4"/>
      <c r="D126" s="4"/>
      <c r="E126" s="4"/>
      <c r="F126" s="4"/>
      <c r="G126" s="4"/>
      <c r="H126" s="5">
        <v>0</v>
      </c>
      <c r="L126" s="24"/>
    </row>
    <row r="127" spans="2:12" ht="17.399999999999999" customHeight="1" x14ac:dyDescent="0.3">
      <c r="B127" s="4"/>
      <c r="C127" s="4"/>
      <c r="D127" s="4"/>
      <c r="E127" s="4"/>
      <c r="F127" s="4"/>
      <c r="G127" s="4"/>
      <c r="H127" s="5">
        <v>0</v>
      </c>
      <c r="L127" s="24"/>
    </row>
    <row r="128" spans="2:12" ht="17.399999999999999" customHeight="1" x14ac:dyDescent="0.3">
      <c r="B128" s="4"/>
      <c r="C128" s="4"/>
      <c r="D128" s="4"/>
      <c r="E128" s="4"/>
      <c r="F128" s="4"/>
      <c r="G128" s="4"/>
      <c r="H128" s="5">
        <v>0</v>
      </c>
      <c r="L128" s="24"/>
    </row>
    <row r="129" spans="2:12" ht="17.399999999999999" customHeight="1" x14ac:dyDescent="0.3">
      <c r="B129" s="4"/>
      <c r="C129" s="4"/>
      <c r="D129" s="4"/>
      <c r="E129" s="4"/>
      <c r="F129" s="4"/>
      <c r="G129" s="4"/>
      <c r="H129" s="5">
        <v>0</v>
      </c>
      <c r="L129" s="24"/>
    </row>
    <row r="130" spans="2:12" ht="17.399999999999999" customHeight="1" x14ac:dyDescent="0.3">
      <c r="B130" s="4"/>
      <c r="C130" s="4"/>
      <c r="D130" s="4"/>
      <c r="E130" s="4"/>
      <c r="F130" s="4"/>
      <c r="G130" s="4"/>
      <c r="H130" s="5">
        <v>0</v>
      </c>
      <c r="L130" s="24"/>
    </row>
    <row r="131" spans="2:12" ht="17.399999999999999" customHeight="1" x14ac:dyDescent="0.3">
      <c r="B131" s="4"/>
      <c r="C131" s="4"/>
      <c r="D131" s="4"/>
      <c r="E131" s="4"/>
      <c r="F131" s="4"/>
      <c r="G131" s="4"/>
      <c r="H131" s="5">
        <v>0</v>
      </c>
      <c r="L131" s="24"/>
    </row>
    <row r="132" spans="2:12" ht="17.399999999999999" customHeight="1" x14ac:dyDescent="0.3">
      <c r="B132" s="4"/>
      <c r="C132" s="4"/>
      <c r="D132" s="4"/>
      <c r="E132" s="4"/>
      <c r="F132" s="4"/>
      <c r="G132" s="4"/>
      <c r="H132" s="3">
        <v>0</v>
      </c>
      <c r="L132" s="24"/>
    </row>
    <row r="133" spans="2:12" ht="17.399999999999999" customHeight="1" x14ac:dyDescent="0.3">
      <c r="B133" s="4"/>
      <c r="C133" s="4"/>
      <c r="D133" s="4"/>
      <c r="E133" s="4"/>
      <c r="F133" s="4"/>
      <c r="G133" s="4"/>
      <c r="H133" s="5"/>
      <c r="L133" s="24"/>
    </row>
    <row r="134" spans="2:12" ht="17.399999999999999" customHeight="1" x14ac:dyDescent="0.3">
      <c r="B134" s="4"/>
      <c r="C134" s="4"/>
      <c r="D134" s="4"/>
      <c r="E134" s="4"/>
      <c r="F134" s="4"/>
      <c r="G134" s="4"/>
      <c r="H134" s="5"/>
      <c r="L134" s="24"/>
    </row>
    <row r="135" spans="2:12" ht="17.399999999999999" customHeight="1" x14ac:dyDescent="0.3">
      <c r="B135" s="4"/>
      <c r="C135" s="4"/>
      <c r="D135" s="4"/>
      <c r="E135" s="4"/>
      <c r="F135" s="4"/>
      <c r="G135" s="4"/>
      <c r="H135" s="5"/>
      <c r="L135" s="24"/>
    </row>
    <row r="136" spans="2:12" ht="17.399999999999999" customHeight="1" x14ac:dyDescent="0.3">
      <c r="B136" s="4"/>
      <c r="C136" s="4"/>
      <c r="D136" s="4"/>
      <c r="E136" s="4"/>
      <c r="F136" s="4"/>
      <c r="G136" s="4"/>
      <c r="H136" s="5"/>
      <c r="L136" s="24"/>
    </row>
    <row r="137" spans="2:12" ht="17.399999999999999" customHeight="1" x14ac:dyDescent="0.3">
      <c r="B137" s="4"/>
      <c r="C137" s="4"/>
      <c r="D137" s="4"/>
      <c r="E137" s="4"/>
      <c r="F137" s="4"/>
      <c r="G137" s="4"/>
      <c r="H137" s="5"/>
      <c r="L137" s="24"/>
    </row>
    <row r="138" spans="2:12" ht="17.399999999999999" customHeight="1" x14ac:dyDescent="0.3">
      <c r="B138" s="4"/>
      <c r="C138" s="4"/>
      <c r="D138" s="4"/>
      <c r="E138" s="4"/>
      <c r="F138" s="4"/>
      <c r="G138" s="4"/>
      <c r="H138" s="5"/>
      <c r="L138" s="24"/>
    </row>
    <row r="139" spans="2:12" ht="17.399999999999999" customHeight="1" x14ac:dyDescent="0.3">
      <c r="B139" s="4"/>
      <c r="C139" s="4"/>
      <c r="D139" s="4"/>
      <c r="E139" s="4"/>
      <c r="F139" s="4"/>
      <c r="G139" s="4"/>
      <c r="H139" s="5"/>
      <c r="L139" s="24"/>
    </row>
    <row r="140" spans="2:12" ht="17.399999999999999" customHeight="1" x14ac:dyDescent="0.3">
      <c r="B140" s="4"/>
      <c r="C140" s="4"/>
      <c r="D140" s="4"/>
      <c r="E140" s="4"/>
      <c r="F140" s="4"/>
      <c r="G140" s="4"/>
      <c r="H140" s="5"/>
      <c r="L140" s="24"/>
    </row>
    <row r="141" spans="2:12" ht="17.399999999999999" customHeight="1" x14ac:dyDescent="0.3">
      <c r="B141" s="4"/>
      <c r="C141" s="4"/>
      <c r="D141" s="4"/>
      <c r="E141" s="4"/>
      <c r="F141" s="4"/>
      <c r="G141" s="4"/>
      <c r="H141" s="5"/>
      <c r="L141" s="24"/>
    </row>
    <row r="142" spans="2:12" ht="17.399999999999999" customHeight="1" x14ac:dyDescent="0.3">
      <c r="B142" s="4"/>
      <c r="C142" s="4"/>
      <c r="D142" s="4"/>
      <c r="E142" s="4"/>
      <c r="F142" s="4"/>
      <c r="G142" s="4"/>
      <c r="H142" s="5"/>
      <c r="L142" s="24"/>
    </row>
    <row r="143" spans="2:12" ht="17.399999999999999" customHeight="1" x14ac:dyDescent="0.3">
      <c r="B143" s="4"/>
      <c r="C143" s="4"/>
      <c r="D143" s="4"/>
      <c r="E143" s="4"/>
      <c r="F143" s="4"/>
      <c r="G143" s="4"/>
      <c r="H143" s="5"/>
      <c r="L143" s="24"/>
    </row>
    <row r="144" spans="2:12" ht="17.399999999999999" customHeight="1" x14ac:dyDescent="0.3">
      <c r="B144" s="4"/>
      <c r="C144" s="4"/>
      <c r="D144" s="4"/>
      <c r="E144" s="4"/>
      <c r="F144" s="4"/>
      <c r="G144" s="4"/>
      <c r="H144" s="5"/>
      <c r="L144" s="24"/>
    </row>
    <row r="145" spans="2:12" ht="17.399999999999999" customHeight="1" x14ac:dyDescent="0.3">
      <c r="B145" s="4"/>
      <c r="C145" s="4"/>
      <c r="D145" s="4"/>
      <c r="E145" s="4"/>
      <c r="F145" s="4"/>
      <c r="G145" s="4"/>
      <c r="H145" s="5"/>
      <c r="L145" s="24"/>
    </row>
    <row r="146" spans="2:12" ht="17.399999999999999" customHeight="1" x14ac:dyDescent="0.3">
      <c r="B146" s="4"/>
      <c r="C146" s="4"/>
      <c r="D146" s="4"/>
      <c r="E146" s="4"/>
      <c r="F146" s="4"/>
      <c r="G146" s="4"/>
      <c r="H146" s="5"/>
      <c r="L146" s="24"/>
    </row>
    <row r="147" spans="2:12" ht="17.399999999999999" customHeight="1" x14ac:dyDescent="0.3">
      <c r="B147" s="4"/>
      <c r="C147" s="4"/>
      <c r="D147" s="4"/>
      <c r="E147" s="4"/>
      <c r="F147" s="4"/>
      <c r="G147" s="4"/>
      <c r="H147" s="5"/>
      <c r="L147" s="24"/>
    </row>
    <row r="148" spans="2:12" ht="17.399999999999999" customHeight="1" x14ac:dyDescent="0.3">
      <c r="B148" s="4"/>
      <c r="C148" s="4"/>
      <c r="D148" s="4"/>
      <c r="E148" s="4"/>
      <c r="F148" s="4"/>
      <c r="G148" s="4"/>
      <c r="H148" s="5"/>
      <c r="L148" s="24"/>
    </row>
    <row r="149" spans="2:12" ht="17.399999999999999" customHeight="1" x14ac:dyDescent="0.3">
      <c r="B149" s="4"/>
      <c r="C149" s="4"/>
      <c r="D149" s="4"/>
      <c r="E149" s="4"/>
      <c r="F149" s="4"/>
      <c r="G149" s="4"/>
      <c r="H149" s="5"/>
      <c r="L149" s="24"/>
    </row>
    <row r="150" spans="2:12" ht="17.399999999999999" customHeight="1" x14ac:dyDescent="0.3">
      <c r="B150" s="4"/>
      <c r="C150" s="4"/>
      <c r="D150" s="4"/>
      <c r="E150" s="4"/>
      <c r="F150" s="4"/>
      <c r="G150" s="4"/>
      <c r="H150" s="5"/>
      <c r="L150" s="24"/>
    </row>
    <row r="151" spans="2:12" ht="17.399999999999999" customHeight="1" x14ac:dyDescent="0.3">
      <c r="B151" s="4"/>
      <c r="C151" s="4"/>
      <c r="D151" s="4"/>
      <c r="E151" s="4"/>
      <c r="F151" s="4"/>
      <c r="G151" s="4"/>
      <c r="H151" s="5"/>
      <c r="L151" s="24"/>
    </row>
    <row r="152" spans="2:12" ht="17.399999999999999" customHeight="1" x14ac:dyDescent="0.3">
      <c r="B152" s="4"/>
      <c r="C152" s="4"/>
      <c r="D152" s="4"/>
      <c r="E152" s="4"/>
      <c r="F152" s="4"/>
      <c r="G152" s="4"/>
      <c r="H152" s="5"/>
      <c r="L152" s="24"/>
    </row>
    <row r="153" spans="2:12" ht="17.399999999999999" customHeight="1" x14ac:dyDescent="0.3">
      <c r="B153" s="4"/>
      <c r="C153" s="4"/>
      <c r="D153" s="4"/>
      <c r="E153" s="4"/>
      <c r="F153" s="4"/>
      <c r="G153" s="4"/>
      <c r="H153" s="5"/>
      <c r="L153" s="24"/>
    </row>
    <row r="154" spans="2:12" ht="17.399999999999999" customHeight="1" x14ac:dyDescent="0.3">
      <c r="B154" s="4"/>
      <c r="C154" s="4"/>
      <c r="D154" s="4"/>
      <c r="E154" s="4"/>
      <c r="F154" s="4"/>
      <c r="G154" s="4"/>
      <c r="H154" s="5"/>
      <c r="L154" s="24"/>
    </row>
    <row r="155" spans="2:12" ht="17.399999999999999" customHeight="1" x14ac:dyDescent="0.3">
      <c r="B155" s="4"/>
      <c r="C155" s="4"/>
      <c r="D155" s="4"/>
      <c r="E155" s="4"/>
      <c r="F155" s="4"/>
      <c r="G155" s="4"/>
      <c r="H155" s="5"/>
      <c r="L155" s="24"/>
    </row>
    <row r="156" spans="2:12" ht="17.399999999999999" customHeight="1" x14ac:dyDescent="0.3">
      <c r="B156" s="4"/>
      <c r="C156" s="4"/>
      <c r="D156" s="4"/>
      <c r="E156" s="4"/>
      <c r="F156" s="4"/>
      <c r="G156" s="4"/>
      <c r="H156" s="5"/>
      <c r="L156" s="24"/>
    </row>
    <row r="157" spans="2:12" ht="17.399999999999999" customHeight="1" x14ac:dyDescent="0.3">
      <c r="B157" s="4"/>
      <c r="C157" s="4"/>
      <c r="D157" s="4"/>
      <c r="E157" s="4"/>
      <c r="F157" s="4"/>
      <c r="G157" s="4"/>
      <c r="H157" s="5"/>
      <c r="L157" s="24"/>
    </row>
    <row r="158" spans="2:12" ht="17.399999999999999" customHeight="1" x14ac:dyDescent="0.3">
      <c r="B158" s="4"/>
      <c r="C158" s="4"/>
      <c r="D158" s="4"/>
      <c r="E158" s="4"/>
      <c r="F158" s="4"/>
      <c r="G158" s="4"/>
      <c r="H158" s="5"/>
      <c r="L158" s="24"/>
    </row>
    <row r="159" spans="2:12" ht="17.399999999999999" customHeight="1" x14ac:dyDescent="0.3">
      <c r="B159" s="4"/>
      <c r="C159" s="4"/>
      <c r="D159" s="4"/>
      <c r="E159" s="4"/>
      <c r="F159" s="4"/>
      <c r="G159" s="4"/>
      <c r="H159" s="5"/>
      <c r="L159" s="24"/>
    </row>
    <row r="160" spans="2:12" ht="17.399999999999999" customHeight="1" x14ac:dyDescent="0.3">
      <c r="B160" s="4"/>
      <c r="C160" s="4"/>
      <c r="D160" s="4"/>
      <c r="E160" s="4"/>
      <c r="F160" s="4"/>
      <c r="G160" s="4"/>
      <c r="H160" s="5"/>
      <c r="L160" s="24"/>
    </row>
    <row r="161" spans="2:12" ht="17.399999999999999" customHeight="1" x14ac:dyDescent="0.3">
      <c r="B161" s="4"/>
      <c r="C161" s="4"/>
      <c r="D161" s="4"/>
      <c r="E161" s="4"/>
      <c r="F161" s="4"/>
      <c r="G161" s="4"/>
      <c r="H161" s="5"/>
      <c r="L161" s="24"/>
    </row>
    <row r="162" spans="2:12" ht="17.399999999999999" customHeight="1" x14ac:dyDescent="0.3">
      <c r="B162" s="4"/>
      <c r="C162" s="4"/>
      <c r="D162" s="4"/>
      <c r="E162" s="4"/>
      <c r="F162" s="4"/>
      <c r="G162" s="4"/>
      <c r="H162" s="5"/>
      <c r="L162" s="24"/>
    </row>
    <row r="163" spans="2:12" ht="17.399999999999999" customHeight="1" x14ac:dyDescent="0.3">
      <c r="B163" s="4"/>
      <c r="C163" s="4"/>
      <c r="D163" s="4"/>
      <c r="E163" s="4"/>
      <c r="F163" s="4"/>
      <c r="G163" s="4"/>
      <c r="H163" s="5"/>
      <c r="L163" s="24"/>
    </row>
    <row r="164" spans="2:12" ht="17.399999999999999" customHeight="1" x14ac:dyDescent="0.3">
      <c r="B164" s="4"/>
      <c r="C164" s="4"/>
      <c r="D164" s="4"/>
      <c r="E164" s="4"/>
      <c r="F164" s="4"/>
      <c r="G164" s="4"/>
      <c r="H164" s="5"/>
      <c r="L164" s="24"/>
    </row>
    <row r="165" spans="2:12" ht="17.399999999999999" customHeight="1" x14ac:dyDescent="0.3">
      <c r="B165" s="4"/>
      <c r="C165" s="4"/>
      <c r="D165" s="4"/>
      <c r="E165" s="4"/>
      <c r="F165" s="4"/>
      <c r="G165" s="4"/>
      <c r="H165" s="5"/>
      <c r="L165" s="24"/>
    </row>
    <row r="166" spans="2:12" ht="17.399999999999999" customHeight="1" x14ac:dyDescent="0.3">
      <c r="B166" s="4"/>
      <c r="C166" s="4"/>
      <c r="D166" s="4"/>
      <c r="E166" s="4"/>
      <c r="F166" s="4"/>
      <c r="G166" s="4"/>
      <c r="H166" s="5"/>
      <c r="L166" s="24"/>
    </row>
    <row r="167" spans="2:12" ht="17.399999999999999" customHeight="1" x14ac:dyDescent="0.3">
      <c r="B167" s="4"/>
      <c r="C167" s="4"/>
      <c r="D167" s="4"/>
      <c r="E167" s="4"/>
      <c r="F167" s="4"/>
      <c r="G167" s="4"/>
      <c r="H167" s="5"/>
      <c r="L167" s="24"/>
    </row>
    <row r="168" spans="2:12" ht="17.399999999999999" customHeight="1" x14ac:dyDescent="0.3">
      <c r="B168" s="4"/>
      <c r="C168" s="4"/>
      <c r="D168" s="4"/>
      <c r="E168" s="4"/>
      <c r="F168" s="4"/>
      <c r="G168" s="4"/>
      <c r="H168" s="5"/>
      <c r="L168" s="24"/>
    </row>
    <row r="169" spans="2:12" ht="17.399999999999999" customHeight="1" x14ac:dyDescent="0.3">
      <c r="B169" s="4"/>
      <c r="C169" s="4"/>
      <c r="D169" s="4"/>
      <c r="E169" s="4"/>
      <c r="F169" s="4"/>
      <c r="G169" s="4"/>
      <c r="H169" s="5"/>
      <c r="L169" s="24"/>
    </row>
    <row r="170" spans="2:12" ht="17.399999999999999" customHeight="1" x14ac:dyDescent="0.3">
      <c r="B170" s="4"/>
      <c r="C170" s="4"/>
      <c r="D170" s="4"/>
      <c r="E170" s="4"/>
      <c r="F170" s="4"/>
      <c r="G170" s="4"/>
      <c r="H170" s="5"/>
      <c r="L170" s="24"/>
    </row>
    <row r="171" spans="2:12" ht="17.399999999999999" customHeight="1" x14ac:dyDescent="0.3">
      <c r="B171" s="4"/>
      <c r="C171" s="4"/>
      <c r="D171" s="4"/>
      <c r="E171" s="4"/>
      <c r="F171" s="4"/>
      <c r="G171" s="4"/>
      <c r="H171" s="5"/>
      <c r="L171" s="24"/>
    </row>
    <row r="172" spans="2:12" ht="17.399999999999999" customHeight="1" x14ac:dyDescent="0.3">
      <c r="B172" s="4"/>
      <c r="C172" s="4"/>
      <c r="D172" s="4"/>
      <c r="E172" s="4"/>
      <c r="F172" s="4"/>
      <c r="G172" s="4"/>
      <c r="H172" s="5"/>
      <c r="L172" s="24"/>
    </row>
    <row r="173" spans="2:12" ht="17.399999999999999" customHeight="1" x14ac:dyDescent="0.3">
      <c r="B173" s="4"/>
      <c r="C173" s="4"/>
      <c r="D173" s="4"/>
      <c r="E173" s="4"/>
      <c r="F173" s="4"/>
      <c r="G173" s="4"/>
      <c r="H173" s="5"/>
      <c r="L173" s="24"/>
    </row>
    <row r="174" spans="2:12" ht="17.399999999999999" customHeight="1" x14ac:dyDescent="0.3">
      <c r="B174" s="4"/>
      <c r="C174" s="4"/>
      <c r="D174" s="4"/>
      <c r="E174" s="4"/>
      <c r="F174" s="4"/>
      <c r="G174" s="4"/>
      <c r="H174" s="5"/>
      <c r="L174" s="24"/>
    </row>
    <row r="175" spans="2:12" ht="17.399999999999999" customHeight="1" x14ac:dyDescent="0.3">
      <c r="B175" s="4"/>
      <c r="C175" s="4"/>
      <c r="D175" s="4"/>
      <c r="E175" s="4"/>
      <c r="F175" s="4"/>
      <c r="G175" s="4"/>
      <c r="H175" s="5"/>
      <c r="L175" s="24"/>
    </row>
    <row r="176" spans="2:12" ht="17.399999999999999" customHeight="1" x14ac:dyDescent="0.3">
      <c r="B176" s="4"/>
      <c r="C176" s="4"/>
      <c r="D176" s="4"/>
      <c r="E176" s="4"/>
      <c r="F176" s="4"/>
      <c r="G176" s="4"/>
      <c r="H176" s="5"/>
      <c r="L176" s="24"/>
    </row>
    <row r="177" spans="2:12" ht="17.399999999999999" customHeight="1" x14ac:dyDescent="0.3">
      <c r="B177" s="4"/>
      <c r="C177" s="4"/>
      <c r="D177" s="4"/>
      <c r="E177" s="4"/>
      <c r="F177" s="4"/>
      <c r="G177" s="4"/>
      <c r="H177" s="5"/>
      <c r="L177" s="24"/>
    </row>
    <row r="178" spans="2:12" ht="17.399999999999999" customHeight="1" x14ac:dyDescent="0.3">
      <c r="B178" s="4"/>
      <c r="C178" s="4"/>
      <c r="D178" s="4"/>
      <c r="E178" s="4"/>
      <c r="F178" s="4"/>
      <c r="G178" s="4"/>
      <c r="H178" s="5"/>
      <c r="L178" s="24"/>
    </row>
    <row r="179" spans="2:12" ht="17.399999999999999" customHeight="1" x14ac:dyDescent="0.3">
      <c r="B179" s="4"/>
      <c r="C179" s="4"/>
      <c r="D179" s="4"/>
      <c r="E179" s="4"/>
      <c r="F179" s="4"/>
      <c r="G179" s="4"/>
      <c r="H179" s="5"/>
      <c r="L179" s="24"/>
    </row>
    <row r="180" spans="2:12" ht="17.399999999999999" customHeight="1" x14ac:dyDescent="0.3">
      <c r="B180" s="4"/>
      <c r="C180" s="4"/>
      <c r="D180" s="4"/>
      <c r="E180" s="4"/>
      <c r="F180" s="4"/>
      <c r="G180" s="4"/>
      <c r="H180" s="5"/>
      <c r="L180" s="24"/>
    </row>
    <row r="181" spans="2:12" ht="17.399999999999999" customHeight="1" x14ac:dyDescent="0.3">
      <c r="B181" s="4"/>
      <c r="C181" s="4"/>
      <c r="D181" s="4"/>
      <c r="E181" s="4"/>
      <c r="F181" s="4"/>
      <c r="G181" s="4"/>
      <c r="H181" s="5"/>
      <c r="L181" s="24"/>
    </row>
    <row r="182" spans="2:12" ht="17.399999999999999" customHeight="1" x14ac:dyDescent="0.3">
      <c r="B182" s="4"/>
      <c r="C182" s="4"/>
      <c r="D182" s="4"/>
      <c r="E182" s="4"/>
      <c r="F182" s="4"/>
      <c r="G182" s="4"/>
      <c r="H182" s="5"/>
      <c r="L182" s="24"/>
    </row>
    <row r="183" spans="2:12" ht="17.399999999999999" customHeight="1" x14ac:dyDescent="0.3">
      <c r="B183" s="4"/>
      <c r="C183" s="4"/>
      <c r="D183" s="4"/>
      <c r="E183" s="4"/>
      <c r="F183" s="4"/>
      <c r="G183" s="4"/>
      <c r="H183" s="5"/>
      <c r="L183" s="24"/>
    </row>
    <row r="184" spans="2:12" ht="17.399999999999999" customHeight="1" x14ac:dyDescent="0.3">
      <c r="B184" s="4"/>
      <c r="C184" s="4"/>
      <c r="D184" s="4"/>
      <c r="E184" s="4"/>
      <c r="F184" s="4"/>
      <c r="G184" s="4"/>
      <c r="H184" s="5"/>
      <c r="L184" s="24"/>
    </row>
    <row r="185" spans="2:12" ht="17.399999999999999" customHeight="1" x14ac:dyDescent="0.3">
      <c r="B185" s="4"/>
      <c r="C185" s="4"/>
      <c r="D185" s="4"/>
      <c r="E185" s="4"/>
      <c r="F185" s="4"/>
      <c r="G185" s="4"/>
      <c r="H185" s="5"/>
      <c r="L185" s="24"/>
    </row>
    <row r="186" spans="2:12" ht="17.399999999999999" customHeight="1" x14ac:dyDescent="0.3">
      <c r="B186" s="4"/>
      <c r="C186" s="4"/>
      <c r="D186" s="4"/>
      <c r="E186" s="4"/>
      <c r="F186" s="4"/>
      <c r="G186" s="4"/>
      <c r="H186" s="5"/>
      <c r="L186" s="24"/>
    </row>
    <row r="187" spans="2:12" ht="17.399999999999999" customHeight="1" x14ac:dyDescent="0.3">
      <c r="B187" s="4"/>
      <c r="C187" s="4"/>
      <c r="D187" s="4"/>
      <c r="E187" s="4"/>
      <c r="F187" s="4"/>
      <c r="G187" s="4"/>
      <c r="H187" s="5"/>
      <c r="L187" s="24"/>
    </row>
    <row r="188" spans="2:12" ht="17.399999999999999" customHeight="1" x14ac:dyDescent="0.3">
      <c r="B188" s="4"/>
      <c r="C188" s="4"/>
      <c r="D188" s="4"/>
      <c r="E188" s="4"/>
      <c r="F188" s="4"/>
      <c r="G188" s="4"/>
      <c r="H188" s="5"/>
      <c r="L188" s="24"/>
    </row>
    <row r="189" spans="2:12" ht="17.399999999999999" customHeight="1" x14ac:dyDescent="0.3">
      <c r="B189" s="4"/>
      <c r="C189" s="4"/>
      <c r="D189" s="4"/>
      <c r="E189" s="4"/>
      <c r="F189" s="4"/>
      <c r="G189" s="4"/>
      <c r="H189" s="5"/>
      <c r="L189" s="24"/>
    </row>
    <row r="190" spans="2:12" ht="17.399999999999999" customHeight="1" x14ac:dyDescent="0.3">
      <c r="B190" s="4"/>
      <c r="C190" s="4"/>
      <c r="D190" s="4"/>
      <c r="E190" s="4"/>
      <c r="F190" s="4"/>
      <c r="G190" s="4"/>
      <c r="H190" s="5"/>
      <c r="L190" s="24"/>
    </row>
    <row r="191" spans="2:12" ht="17.399999999999999" customHeight="1" x14ac:dyDescent="0.3">
      <c r="B191" s="4"/>
      <c r="C191" s="4"/>
      <c r="D191" s="4"/>
      <c r="E191" s="4"/>
      <c r="F191" s="4"/>
      <c r="G191" s="4"/>
      <c r="H191" s="5"/>
      <c r="L191" s="24"/>
    </row>
    <row r="192" spans="2:12" ht="17.399999999999999" customHeight="1" x14ac:dyDescent="0.3">
      <c r="B192" s="4"/>
      <c r="C192" s="4"/>
      <c r="D192" s="4"/>
      <c r="E192" s="4"/>
      <c r="F192" s="4"/>
      <c r="G192" s="4"/>
      <c r="H192" s="5"/>
      <c r="L192" s="24"/>
    </row>
    <row r="193" spans="2:12" ht="17.399999999999999" customHeight="1" x14ac:dyDescent="0.3">
      <c r="B193" s="4"/>
      <c r="C193" s="4"/>
      <c r="D193" s="4"/>
      <c r="E193" s="4"/>
      <c r="F193" s="4"/>
      <c r="G193" s="4"/>
      <c r="H193" s="5"/>
      <c r="L193" s="24"/>
    </row>
    <row r="194" spans="2:12" ht="17.399999999999999" customHeight="1" x14ac:dyDescent="0.3">
      <c r="B194" s="4"/>
      <c r="C194" s="4"/>
      <c r="D194" s="4"/>
      <c r="E194" s="4"/>
      <c r="F194" s="4"/>
      <c r="G194" s="4"/>
      <c r="H194" s="5"/>
      <c r="L194" s="24"/>
    </row>
    <row r="195" spans="2:12" ht="17.399999999999999" customHeight="1" x14ac:dyDescent="0.3">
      <c r="B195" s="4"/>
      <c r="C195" s="4"/>
      <c r="D195" s="4"/>
      <c r="E195" s="4"/>
      <c r="F195" s="4"/>
      <c r="G195" s="4"/>
      <c r="H195" s="5"/>
      <c r="L195" s="24"/>
    </row>
    <row r="196" spans="2:12" ht="17.399999999999999" customHeight="1" x14ac:dyDescent="0.3">
      <c r="B196" s="4"/>
      <c r="C196" s="4"/>
      <c r="D196" s="4"/>
      <c r="E196" s="4"/>
      <c r="F196" s="4"/>
      <c r="G196" s="4"/>
      <c r="H196" s="5"/>
      <c r="L196" s="24"/>
    </row>
    <row r="197" spans="2:12" ht="17.399999999999999" customHeight="1" x14ac:dyDescent="0.3">
      <c r="B197" s="4"/>
      <c r="C197" s="4"/>
      <c r="D197" s="4"/>
      <c r="E197" s="4"/>
      <c r="F197" s="4"/>
      <c r="G197" s="4"/>
      <c r="H197" s="5"/>
      <c r="L197" s="24"/>
    </row>
    <row r="198" spans="2:12" ht="17.399999999999999" customHeight="1" x14ac:dyDescent="0.3">
      <c r="B198" s="4"/>
      <c r="C198" s="4"/>
      <c r="D198" s="4"/>
      <c r="E198" s="4"/>
      <c r="F198" s="4"/>
      <c r="G198" s="4"/>
      <c r="H198" s="5"/>
      <c r="L198" s="24"/>
    </row>
    <row r="199" spans="2:12" ht="17.399999999999999" customHeight="1" x14ac:dyDescent="0.3">
      <c r="B199" s="4"/>
      <c r="C199" s="4"/>
      <c r="D199" s="4"/>
      <c r="E199" s="4"/>
      <c r="F199" s="4"/>
      <c r="G199" s="4"/>
      <c r="H199" s="5"/>
      <c r="L199" s="24"/>
    </row>
    <row r="200" spans="2:12" ht="17.399999999999999" customHeight="1" x14ac:dyDescent="0.3">
      <c r="B200" s="4"/>
      <c r="C200" s="4"/>
      <c r="D200" s="4"/>
      <c r="E200" s="4"/>
      <c r="F200" s="4"/>
      <c r="G200" s="4"/>
      <c r="H200" s="5"/>
      <c r="L200" s="24"/>
    </row>
  </sheetData>
  <dataValidations disablePrompts="1" count="3">
    <dataValidation type="list" allowBlank="1" showInputMessage="1" showErrorMessage="1" sqref="D5:D83" xr:uid="{9E4BFD01-6DCD-4BCA-AEC4-B766F7AC7184}">
      <formula1>$J$5:$J$13</formula1>
    </dataValidation>
    <dataValidation type="list" allowBlank="1" showInputMessage="1" showErrorMessage="1" sqref="E5:E83" xr:uid="{6D429024-F434-4933-AAF4-43593D23AD86}">
      <formula1>$L$32:$L$39</formula1>
    </dataValidation>
    <dataValidation type="list" allowBlank="1" showInputMessage="1" showErrorMessage="1" sqref="G5:G83" xr:uid="{0D54C056-CDC7-4730-80F7-B25A28E72B2D}">
      <formula1>$M$32:$M$40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E5A7A-7FB2-4641-9D93-FF984A294CA8}">
  <sheetPr codeName="Planilha4">
    <tabColor theme="9" tint="0.39997558519241921"/>
  </sheetPr>
  <dimension ref="A1:Q61"/>
  <sheetViews>
    <sheetView zoomScale="86" zoomScaleNormal="145" workbookViewId="0">
      <selection activeCell="L24" sqref="L24"/>
    </sheetView>
  </sheetViews>
  <sheetFormatPr defaultRowHeight="14.4" x14ac:dyDescent="0.3"/>
  <cols>
    <col min="2" max="2" width="18.44140625" style="1" customWidth="1"/>
    <col min="3" max="3" width="13.6640625" style="1" customWidth="1"/>
    <col min="4" max="4" width="14.44140625" style="1" customWidth="1"/>
    <col min="5" max="5" width="13.44140625" style="1" customWidth="1"/>
    <col min="6" max="6" width="13.6640625" style="1" customWidth="1"/>
    <col min="7" max="7" width="13.5546875" style="1" customWidth="1"/>
    <col min="8" max="8" width="10.88671875" style="1" customWidth="1"/>
    <col min="9" max="9" width="10.6640625" customWidth="1"/>
    <col min="10" max="10" width="17.88671875" customWidth="1"/>
    <col min="11" max="11" width="17.77734375" customWidth="1"/>
    <col min="12" max="12" width="19.6640625" customWidth="1"/>
    <col min="13" max="13" width="13.77734375" customWidth="1"/>
    <col min="14" max="14" width="23.44140625" customWidth="1"/>
    <col min="15" max="15" width="13.77734375" customWidth="1"/>
    <col min="17" max="17" width="9.6640625" style="1" customWidth="1"/>
  </cols>
  <sheetData>
    <row r="1" spans="2:17" s="8" customFormat="1" ht="28.8" customHeight="1" x14ac:dyDescent="0.3">
      <c r="B1" s="12" t="s">
        <v>46</v>
      </c>
      <c r="C1" s="9"/>
      <c r="D1" s="9"/>
      <c r="E1" s="9"/>
      <c r="F1" s="9"/>
      <c r="G1" s="9"/>
      <c r="H1" s="9"/>
      <c r="Q1" s="9"/>
    </row>
    <row r="2" spans="2:17" s="26" customFormat="1" ht="6" customHeight="1" x14ac:dyDescent="0.3">
      <c r="B2" s="25"/>
      <c r="C2" s="25"/>
      <c r="D2" s="25"/>
      <c r="E2" s="25"/>
      <c r="F2" s="25"/>
      <c r="G2" s="25"/>
      <c r="H2" s="25"/>
      <c r="Q2" s="25"/>
    </row>
    <row r="3" spans="2:17" ht="17.399999999999999" customHeight="1" x14ac:dyDescent="0.3"/>
    <row r="4" spans="2:17" ht="28.8" customHeight="1" x14ac:dyDescent="0.3">
      <c r="B4" s="6" t="s">
        <v>47</v>
      </c>
      <c r="C4" s="6" t="s">
        <v>50</v>
      </c>
      <c r="D4" s="6" t="s">
        <v>51</v>
      </c>
      <c r="E4" s="6" t="s">
        <v>52</v>
      </c>
      <c r="F4" s="6" t="s">
        <v>53</v>
      </c>
      <c r="G4" s="6" t="s">
        <v>54</v>
      </c>
      <c r="H4" s="7" t="s">
        <v>4</v>
      </c>
      <c r="J4" s="13" t="s">
        <v>3</v>
      </c>
      <c r="K4" s="14" t="s">
        <v>50</v>
      </c>
      <c r="L4" s="14" t="s">
        <v>51</v>
      </c>
      <c r="M4" s="27" t="s">
        <v>52</v>
      </c>
      <c r="N4" s="27" t="s">
        <v>74</v>
      </c>
      <c r="O4" s="27" t="s">
        <v>54</v>
      </c>
      <c r="Q4"/>
    </row>
    <row r="5" spans="2:17" ht="17.399999999999999" customHeight="1" x14ac:dyDescent="0.3">
      <c r="B5" s="72">
        <f>((IF(C5=$J$5,$K$5,IF(C5=$J$6,$K$6,IF(C5=$J$7,$K$7,IF(C5=$J$8,$K$8,IF(C5=$J$9,$K$9,IF(C5=$J$10,$K$10,IF(C5=$J$11,$K$11,IF(C5=$J$12,$K$12,IF(C5=$J$13,$K$13,IF(C5=$J$14,$K$14,0)))))))))))*100+(IF(D5=$J$5,$L$5,IF(D5=$J$6,$K$6,IF(D5=$J$7,$L$7,IF(D5=$J$8,$L$8,IF(D5=$J$9,$L$9,IF(D5=$J$10,$L$10,IF(D5=$J$11,$L$11,IF(D5=$J$12,$L$12,IF(D5=$J$13,$L$13,IF(D5=$J$14,$L$14,0)))))))))))*10+(IF(E5=$J$5,$M$5,IF(E5=$J$6,$M$6,IF(E5=$J$7,$M$7,IF(E5=$J$8,$M$8,IF(E5=$J$9,$M$9,IF(E5=$J$10,$M$10,IF(E5=$J$11,$M$11,IF(E5=$J$12,$M$12,IF(E5=$J$13,$M$13,IF(E5=$J$14,$M$14,0))))))))))))*(IF(F5=$J$5,$N$5,IF(F5=$J$6,$N$6,IF(F5=$J$7,$N$7,IF(F5=$J$8,$N$8,IF(F5=$J$9,$N$9,IF(F5=$J$10,$N$10,IF(F5=$J$11,$N$11,IF(F5=$J$12,$N$12,IF(F5=$J$13,$N$13,IF(F5=$J$14,$N$14,IF(F5=$J$15,$N$15,IF(F5=$J$16,$N$16,1))))))))))))) * IF(ISBLANK(E5),0.1,1)</f>
        <v>1</v>
      </c>
      <c r="C5" s="65" t="s">
        <v>56</v>
      </c>
      <c r="D5" s="65" t="s">
        <v>55</v>
      </c>
      <c r="E5" s="65"/>
      <c r="F5" s="65" t="s">
        <v>62</v>
      </c>
      <c r="G5" s="65" t="s">
        <v>62</v>
      </c>
      <c r="H5" s="3">
        <v>10</v>
      </c>
      <c r="J5" s="28" t="s">
        <v>55</v>
      </c>
      <c r="K5" s="39">
        <v>0</v>
      </c>
      <c r="L5" s="28">
        <v>0</v>
      </c>
      <c r="M5" s="40">
        <v>0</v>
      </c>
      <c r="N5" s="40">
        <v>1</v>
      </c>
      <c r="O5" s="40" t="s">
        <v>12</v>
      </c>
      <c r="Q5"/>
    </row>
    <row r="6" spans="2:17" ht="17.399999999999999" customHeight="1" x14ac:dyDescent="0.3">
      <c r="B6" s="72">
        <f>((IF(C6=$J$5,$K$5,IF(C6=$J$6,$K$6,IF(C6=$J$7,$K$7,IF(C6=$J$8,$K$8,IF(C6=$J$9,$K$9,IF(C6=$J$10,$K$10,IF(C6=$J$11,$K$11,IF(C6=$J$12,$K$12,IF(C6=$J$13,$K$13,IF(C6=$J$14,$K$14,0)))))))))))*100+(IF(D6=$J$5,$L$5,IF(D6=$J$6,$K$6,IF(D6=$J$7,$L$7,IF(D6=$J$8,$L$8,IF(D6=$J$9,$L$9,IF(D6=$J$10,$L$10,IF(D6=$J$11,$L$11,IF(D6=$J$12,$L$12,IF(D6=$J$13,$L$13,IF(D6=$J$14,$L$14,0)))))))))))*10+(IF(E6=$J$5,$M$5,IF(E6=$J$6,$M$6,IF(E6=$J$7,$M$7,IF(E6=$J$8,$M$8,IF(E6=$J$9,$M$9,IF(E6=$J$10,$M$10,IF(E6=$J$11,$M$11,IF(E6=$J$12,$M$12,IF(E6=$J$13,$M$13,IF(E6=$J$14,$M$14,0))))))))))))*(IF(F6=$J$5,$N$5,IF(F6=$J$6,$N$6,IF(F6=$J$7,$N$7,IF(F6=$J$8,$N$8,IF(F6=$J$9,$N$9,IF(F6=$J$10,$N$10,IF(F6=$J$11,$N$11,IF(F6=$J$12,$N$12,IF(F6=$J$13,$N$13,IF(F6=$J$14,$N$14,IF(F6=$J$15,$N$15,IF(F6=$J$16,$N$16,1))))))))))))) * IF(ISBLANK(E6),0.1,1)</f>
        <v>3.3000000000000003</v>
      </c>
      <c r="C6" s="2" t="s">
        <v>49</v>
      </c>
      <c r="D6" s="2" t="s">
        <v>49</v>
      </c>
      <c r="E6" s="2"/>
      <c r="F6" s="2" t="s">
        <v>62</v>
      </c>
      <c r="G6" s="2" t="s">
        <v>62</v>
      </c>
      <c r="H6" s="60">
        <v>10</v>
      </c>
      <c r="J6" s="29" t="s">
        <v>56</v>
      </c>
      <c r="K6" s="41">
        <v>1</v>
      </c>
      <c r="L6" s="41">
        <v>1</v>
      </c>
      <c r="M6" s="42">
        <v>1</v>
      </c>
      <c r="N6" s="42">
        <v>10</v>
      </c>
      <c r="O6" s="42" t="s">
        <v>64</v>
      </c>
      <c r="Q6" s="57" t="s">
        <v>72</v>
      </c>
    </row>
    <row r="7" spans="2:17" ht="17.399999999999999" customHeight="1" x14ac:dyDescent="0.3">
      <c r="B7" s="72">
        <f>((IF(C7=$J$5,$K$5,IF(C7=$J$6,$K$6,IF(C7=$J$7,$K$7,IF(C7=$J$8,$K$8,IF(C7=$J$9,$K$9,IF(C7=$J$10,$K$10,IF(C7=$J$11,$K$11,IF(C7=$J$12,$K$12,IF(C7=$J$13,$K$13,IF(C7=$J$14,$K$14,0)))))))))))*100+(IF(D7=$J$5,$L$5,IF(D7=$J$6,$K$6,IF(D7=$J$7,$L$7,IF(D7=$J$8,$L$8,IF(D7=$J$9,$L$9,IF(D7=$J$10,$L$10,IF(D7=$J$11,$L$11,IF(D7=$J$12,$L$12,IF(D7=$J$13,$L$13,IF(D7=$J$14,$L$14,0)))))))))))*10+(IF(E7=$J$5,$M$5,IF(E7=$J$6,$M$6,IF(E7=$J$7,$M$7,IF(E7=$J$8,$M$8,IF(E7=$J$9,$M$9,IF(E7=$J$10,$M$10,IF(E7=$J$11,$M$11,IF(E7=$J$12,$M$12,IF(E7=$J$13,$M$13,IF(E7=$J$14,$M$14,0))))))))))))*(IF(F7=$J$5,$N$5,IF(F7=$J$6,$N$6,IF(F7=$J$7,$N$7,IF(F7=$J$8,$N$8,IF(F7=$J$9,$N$9,IF(F7=$J$10,$N$10,IF(F7=$J$11,$N$11,IF(F7=$J$12,$N$12,IF(F7=$J$13,$N$13,IF(F7=$J$14,$N$14,IF(F7=$J$15,$N$15,IF(F7=$J$16,$N$16,1))))))))))))) * IF(ISBLANK(E7),0.1,1)</f>
        <v>5.1000000000000005</v>
      </c>
      <c r="C7" s="65" t="s">
        <v>48</v>
      </c>
      <c r="D7" s="65" t="s">
        <v>56</v>
      </c>
      <c r="E7" s="65"/>
      <c r="F7" s="65" t="s">
        <v>62</v>
      </c>
      <c r="G7" s="65" t="s">
        <v>62</v>
      </c>
      <c r="H7" s="60">
        <v>4</v>
      </c>
      <c r="J7" s="30" t="s">
        <v>57</v>
      </c>
      <c r="K7" s="30">
        <v>2</v>
      </c>
      <c r="L7" s="30">
        <v>2</v>
      </c>
      <c r="M7" s="43">
        <v>2</v>
      </c>
      <c r="N7" s="43">
        <v>100</v>
      </c>
      <c r="O7" s="43" t="s">
        <v>65</v>
      </c>
    </row>
    <row r="8" spans="2:17" ht="17.399999999999999" customHeight="1" x14ac:dyDescent="0.3">
      <c r="B8" s="72">
        <f>((IF(C8=$J$5,$K$5,IF(C8=$J$6,$K$6,IF(C8=$J$7,$K$7,IF(C8=$J$8,$K$8,IF(C8=$J$9,$K$9,IF(C8=$J$10,$K$10,IF(C8=$J$11,$K$11,IF(C8=$J$12,$K$12,IF(C8=$J$13,$K$13,IF(C8=$J$14,$K$14,0)))))))))))*100+(IF(D8=$J$5,$L$5,IF(D8=$J$6,$K$6,IF(D8=$J$7,$L$7,IF(D8=$J$8,$L$8,IF(D8=$J$9,$L$9,IF(D8=$J$10,$L$10,IF(D8=$J$11,$L$11,IF(D8=$J$12,$L$12,IF(D8=$J$13,$L$13,IF(D8=$J$14,$L$14,0)))))))))))*10+(IF(E8=$J$5,$M$5,IF(E8=$J$6,$M$6,IF(E8=$J$7,$M$7,IF(E8=$J$8,$M$8,IF(E8=$J$9,$M$9,IF(E8=$J$10,$M$10,IF(E8=$J$11,$M$11,IF(E8=$J$12,$M$12,IF(E8=$J$13,$M$13,IF(E8=$J$14,$M$14,0))))))))))))*(IF(F8=$J$5,$N$5,IF(F8=$J$6,$N$6,IF(F8=$J$7,$N$7,IF(F8=$J$8,$N$8,IF(F8=$J$9,$N$9,IF(F8=$J$10,$N$10,IF(F8=$J$11,$N$11,IF(F8=$J$12,$N$12,IF(F8=$J$13,$N$13,IF(F8=$J$14,$N$14,IF(F8=$J$15,$N$15,IF(F8=$J$16,$N$16,1))))))))))))) * IF(ISBLANK(E8),0.1,1)</f>
        <v>5.6000000000000005</v>
      </c>
      <c r="C8" s="2" t="s">
        <v>48</v>
      </c>
      <c r="D8" s="2" t="s">
        <v>5</v>
      </c>
      <c r="E8" s="2"/>
      <c r="F8" s="2" t="s">
        <v>62</v>
      </c>
      <c r="G8" s="2" t="s">
        <v>62</v>
      </c>
      <c r="H8" s="60">
        <v>7</v>
      </c>
      <c r="J8" s="31" t="s">
        <v>49</v>
      </c>
      <c r="K8" s="44">
        <v>3</v>
      </c>
      <c r="L8" s="31">
        <v>3</v>
      </c>
      <c r="M8" s="45">
        <v>3</v>
      </c>
      <c r="N8" s="45">
        <v>1000</v>
      </c>
      <c r="O8" s="45" t="s">
        <v>12</v>
      </c>
    </row>
    <row r="9" spans="2:17" ht="17.399999999999999" customHeight="1" x14ac:dyDescent="0.3">
      <c r="B9" s="72">
        <f>((IF(C9=$J$5,$K$5,IF(C9=$J$6,$K$6,IF(C9=$J$7,$K$7,IF(C9=$J$8,$K$8,IF(C9=$J$9,$K$9,IF(C9=$J$10,$K$10,IF(C9=$J$11,$K$11,IF(C9=$J$12,$K$12,IF(C9=$J$13,$K$13,IF(C9=$J$14,$K$14,0)))))))))))*100+(IF(D9=$J$5,$L$5,IF(D9=$J$6,$K$6,IF(D9=$J$7,$L$7,IF(D9=$J$8,$L$8,IF(D9=$J$9,$L$9,IF(D9=$J$10,$L$10,IF(D9=$J$11,$L$11,IF(D9=$J$12,$L$12,IF(D9=$J$13,$L$13,IF(D9=$J$14,$L$14,0)))))))))))*10+(IF(E9=$J$5,$M$5,IF(E9=$J$6,$M$6,IF(E9=$J$7,$M$7,IF(E9=$J$8,$M$8,IF(E9=$J$9,$M$9,IF(E9=$J$10,$M$10,IF(E9=$J$11,$M$11,IF(E9=$J$12,$M$12,IF(E9=$J$13,$M$13,IF(E9=$J$14,$M$14,0))))))))))))*(IF(F9=$J$5,$N$5,IF(F9=$J$6,$N$6,IF(F9=$J$7,$N$7,IF(F9=$J$8,$N$8,IF(F9=$J$9,$N$9,IF(F9=$J$10,$N$10,IF(F9=$J$11,$N$11,IF(F9=$J$12,$N$12,IF(F9=$J$13,$N$13,IF(F9=$J$14,$N$14,IF(F9=$J$15,$N$15,IF(F9=$J$16,$N$16,1))))))))))))) * IF(ISBLANK(E9),0.1,1)</f>
        <v>6.2</v>
      </c>
      <c r="C9" s="65" t="s">
        <v>5</v>
      </c>
      <c r="D9" s="65" t="s">
        <v>57</v>
      </c>
      <c r="E9" s="65"/>
      <c r="F9" s="65" t="s">
        <v>62</v>
      </c>
      <c r="G9" s="65" t="s">
        <v>62</v>
      </c>
      <c r="H9" s="60">
        <v>2</v>
      </c>
      <c r="J9" s="32" t="s">
        <v>58</v>
      </c>
      <c r="K9" s="46">
        <v>4</v>
      </c>
      <c r="L9" s="32">
        <v>4</v>
      </c>
      <c r="M9" s="47">
        <v>4</v>
      </c>
      <c r="N9" s="47">
        <v>10000</v>
      </c>
      <c r="O9" s="47" t="s">
        <v>12</v>
      </c>
    </row>
    <row r="10" spans="2:17" ht="17.399999999999999" customHeight="1" x14ac:dyDescent="0.3">
      <c r="B10" s="72">
        <f>((IF(C10=$J$5,$K$5,IF(C10=$J$6,$K$6,IF(C10=$J$7,$K$7,IF(C10=$J$8,$K$8,IF(C10=$J$9,$K$9,IF(C10=$J$10,$K$10,IF(C10=$J$11,$K$11,IF(C10=$J$12,$K$12,IF(C10=$J$13,$K$13,IF(C10=$J$14,$K$14,0)))))))))))*100+(IF(D10=$J$5,$L$5,IF(D10=$J$6,$K$6,IF(D10=$J$7,$L$7,IF(D10=$J$8,$L$8,IF(D10=$J$9,$L$9,IF(D10=$J$10,$L$10,IF(D10=$J$11,$L$11,IF(D10=$J$12,$L$12,IF(D10=$J$13,$L$13,IF(D10=$J$14,$L$14,0)))))))))))*10+(IF(E10=$J$5,$M$5,IF(E10=$J$6,$M$6,IF(E10=$J$7,$M$7,IF(E10=$J$8,$M$8,IF(E10=$J$9,$M$9,IF(E10=$J$10,$M$10,IF(E10=$J$11,$M$11,IF(E10=$J$12,$M$12,IF(E10=$J$13,$M$13,IF(E10=$J$14,$M$14,0))))))))))))*(IF(F10=$J$5,$N$5,IF(F10=$J$6,$N$6,IF(F10=$J$7,$N$7,IF(F10=$J$8,$N$8,IF(F10=$J$9,$N$9,IF(F10=$J$10,$N$10,IF(F10=$J$11,$N$11,IF(F10=$J$12,$N$12,IF(F10=$J$13,$N$13,IF(F10=$J$14,$N$14,IF(F10=$J$15,$N$15,IF(F10=$J$16,$N$16,1))))))))))))) * IF(ISBLANK(E10),0.1,1)</f>
        <v>10</v>
      </c>
      <c r="C10" s="2" t="s">
        <v>56</v>
      </c>
      <c r="D10" s="2" t="s">
        <v>55</v>
      </c>
      <c r="E10" s="2"/>
      <c r="F10" s="2" t="s">
        <v>55</v>
      </c>
      <c r="G10" s="2" t="s">
        <v>62</v>
      </c>
      <c r="H10" s="3">
        <v>2</v>
      </c>
      <c r="J10" s="33" t="s">
        <v>48</v>
      </c>
      <c r="K10" s="33">
        <v>5</v>
      </c>
      <c r="L10" s="33">
        <v>5</v>
      </c>
      <c r="M10" s="48">
        <v>5</v>
      </c>
      <c r="N10" s="48">
        <v>100000</v>
      </c>
      <c r="O10" s="48" t="s">
        <v>67</v>
      </c>
      <c r="Q10" s="57" t="s">
        <v>73</v>
      </c>
    </row>
    <row r="11" spans="2:17" ht="17.399999999999999" customHeight="1" x14ac:dyDescent="0.3">
      <c r="B11" s="72">
        <f>((IF(C11=$J$5,$K$5,IF(C11=$J$6,$K$6,IF(C11=$J$7,$K$7,IF(C11=$J$8,$K$8,IF(C11=$J$9,$K$9,IF(C11=$J$10,$K$10,IF(C11=$J$11,$K$11,IF(C11=$J$12,$K$12,IF(C11=$J$13,$K$13,IF(C11=$J$14,$K$14,0)))))))))))*100+(IF(D11=$J$5,$L$5,IF(D11=$J$6,$K$6,IF(D11=$J$7,$L$7,IF(D11=$J$8,$L$8,IF(D11=$J$9,$L$9,IF(D11=$J$10,$L$10,IF(D11=$J$11,$L$11,IF(D11=$J$12,$L$12,IF(D11=$J$13,$L$13,IF(D11=$J$14,$L$14,0)))))))))))*10+(IF(E11=$J$5,$M$5,IF(E11=$J$6,$M$6,IF(E11=$J$7,$M$7,IF(E11=$J$8,$M$8,IF(E11=$J$9,$M$9,IF(E11=$J$10,$M$10,IF(E11=$J$11,$M$11,IF(E11=$J$12,$M$12,IF(E11=$J$13,$M$13,IF(E11=$J$14,$M$14,0))))))))))))*(IF(F11=$J$5,$N$5,IF(F11=$J$6,$N$6,IF(F11=$J$7,$N$7,IF(F11=$J$8,$N$8,IF(F11=$J$9,$N$9,IF(F11=$J$10,$N$10,IF(F11=$J$11,$N$11,IF(F11=$J$12,$N$12,IF(F11=$J$13,$N$13,IF(F11=$J$14,$N$14,IF(F11=$J$15,$N$15,IF(F11=$J$16,$N$16,1))))))))))))) * IF(ISBLANK(E11),0.1,1)</f>
        <v>22</v>
      </c>
      <c r="C11" s="2" t="s">
        <v>57</v>
      </c>
      <c r="D11" s="2" t="s">
        <v>57</v>
      </c>
      <c r="E11" s="2"/>
      <c r="F11" s="2" t="s">
        <v>55</v>
      </c>
      <c r="G11" s="2" t="s">
        <v>62</v>
      </c>
      <c r="H11" s="60">
        <v>27</v>
      </c>
      <c r="J11" s="34" t="s">
        <v>5</v>
      </c>
      <c r="K11" s="49">
        <v>6</v>
      </c>
      <c r="L11" s="34">
        <v>6</v>
      </c>
      <c r="M11" s="50">
        <v>6</v>
      </c>
      <c r="N11" s="50">
        <v>1000000</v>
      </c>
      <c r="O11" s="50" t="s">
        <v>68</v>
      </c>
      <c r="Q11"/>
    </row>
    <row r="12" spans="2:17" ht="17.399999999999999" customHeight="1" x14ac:dyDescent="0.3">
      <c r="B12" s="72">
        <f>((IF(C12=$J$5,$K$5,IF(C12=$J$6,$K$6,IF(C12=$J$7,$K$7,IF(C12=$J$8,$K$8,IF(C12=$J$9,$K$9,IF(C12=$J$10,$K$10,IF(C12=$J$11,$K$11,IF(C12=$J$12,$K$12,IF(C12=$J$13,$K$13,IF(C12=$J$14,$K$14,0)))))))))))*100+(IF(D12=$J$5,$L$5,IF(D12=$J$6,$K$6,IF(D12=$J$7,$L$7,IF(D12=$J$8,$L$8,IF(D12=$J$9,$L$9,IF(D12=$J$10,$L$10,IF(D12=$J$11,$L$11,IF(D12=$J$12,$L$12,IF(D12=$J$13,$L$13,IF(D12=$J$14,$L$14,0)))))))))))*10+(IF(E12=$J$5,$M$5,IF(E12=$J$6,$M$6,IF(E12=$J$7,$M$7,IF(E12=$J$8,$M$8,IF(E12=$J$9,$M$9,IF(E12=$J$10,$M$10,IF(E12=$J$11,$M$11,IF(E12=$J$12,$M$12,IF(E12=$J$13,$M$13,IF(E12=$J$14,$M$14,0))))))))))))*(IF(F12=$J$5,$N$5,IF(F12=$J$6,$N$6,IF(F12=$J$7,$N$7,IF(F12=$J$8,$N$8,IF(F12=$J$9,$N$9,IF(F12=$J$10,$N$10,IF(F12=$J$11,$N$11,IF(F12=$J$12,$N$12,IF(F12=$J$13,$N$13,IF(F12=$J$14,$N$14,IF(F12=$J$15,$N$15,IF(F12=$J$16,$N$16,1))))))))))))) * IF(ISBLANK(E12),0.1,1)</f>
        <v>47</v>
      </c>
      <c r="C12" s="2" t="s">
        <v>58</v>
      </c>
      <c r="D12" s="2" t="s">
        <v>59</v>
      </c>
      <c r="E12" s="2"/>
      <c r="F12" s="2" t="s">
        <v>55</v>
      </c>
      <c r="G12" s="2" t="s">
        <v>62</v>
      </c>
      <c r="H12" s="60">
        <v>3</v>
      </c>
      <c r="J12" s="35" t="s">
        <v>59</v>
      </c>
      <c r="K12" s="51">
        <v>7</v>
      </c>
      <c r="L12" s="51">
        <v>7</v>
      </c>
      <c r="M12" s="52">
        <v>7</v>
      </c>
      <c r="N12" s="52">
        <v>10000000</v>
      </c>
      <c r="O12" s="52" t="s">
        <v>69</v>
      </c>
      <c r="Q12"/>
    </row>
    <row r="13" spans="2:17" ht="17.399999999999999" customHeight="1" x14ac:dyDescent="0.3">
      <c r="B13" s="73">
        <v>47</v>
      </c>
      <c r="C13" s="65"/>
      <c r="D13" s="65"/>
      <c r="E13" s="65"/>
      <c r="F13" s="65"/>
      <c r="G13" s="65" t="s">
        <v>57</v>
      </c>
      <c r="H13" s="60">
        <v>5</v>
      </c>
      <c r="J13" s="36" t="s">
        <v>60</v>
      </c>
      <c r="K13" s="36">
        <v>8</v>
      </c>
      <c r="L13" s="36">
        <v>8</v>
      </c>
      <c r="M13" s="53">
        <v>8</v>
      </c>
      <c r="N13" s="53" t="s">
        <v>12</v>
      </c>
      <c r="O13" s="53" t="s">
        <v>70</v>
      </c>
      <c r="Q13"/>
    </row>
    <row r="14" spans="2:17" ht="17.399999999999999" customHeight="1" x14ac:dyDescent="0.3">
      <c r="B14" s="72">
        <f>((IF(C14=$J$5,$K$5,IF(C14=$J$6,$K$6,IF(C14=$J$7,$K$7,IF(C14=$J$8,$K$8,IF(C14=$J$9,$K$9,IF(C14=$J$10,$K$10,IF(C14=$J$11,$K$11,IF(C14=$J$12,$K$12,IF(C14=$J$13,$K$13,IF(C14=$J$14,$K$14,0)))))))))))*100+(IF(D14=$J$5,$L$5,IF(D14=$J$6,$K$6,IF(D14=$J$7,$L$7,IF(D14=$J$8,$L$8,IF(D14=$J$9,$L$9,IF(D14=$J$10,$L$10,IF(D14=$J$11,$L$11,IF(D14=$J$12,$L$12,IF(D14=$J$13,$L$13,IF(D14=$J$14,$L$14,0)))))))))))*10+(IF(E14=$J$5,$M$5,IF(E14=$J$6,$M$6,IF(E14=$J$7,$M$7,IF(E14=$J$8,$M$8,IF(E14=$J$9,$M$9,IF(E14=$J$10,$M$10,IF(E14=$J$11,$M$11,IF(E14=$J$12,$M$12,IF(E14=$J$13,$M$13,IF(E14=$J$14,$M$14,0))))))))))))*(IF(F14=$J$5,$N$5,IF(F14=$J$6,$N$6,IF(F14=$J$7,$N$7,IF(F14=$J$8,$N$8,IF(F14=$J$9,$N$9,IF(F14=$J$10,$N$10,IF(F14=$J$11,$N$11,IF(F14=$J$12,$N$12,IF(F14=$J$13,$N$13,IF(F14=$J$14,$N$14,IF(F14=$J$15,$N$15,IF(F14=$J$16,$N$16,1))))))))))))) * IF(ISBLANK(E14),0.1,1)</f>
        <v>65</v>
      </c>
      <c r="C14" s="2" t="s">
        <v>5</v>
      </c>
      <c r="D14" s="2" t="s">
        <v>48</v>
      </c>
      <c r="E14" s="2"/>
      <c r="F14" s="2" t="s">
        <v>55</v>
      </c>
      <c r="G14" s="2" t="s">
        <v>62</v>
      </c>
      <c r="H14" s="60">
        <v>1</v>
      </c>
      <c r="J14" s="23" t="s">
        <v>61</v>
      </c>
      <c r="K14" s="23">
        <v>9</v>
      </c>
      <c r="L14" s="23">
        <v>9</v>
      </c>
      <c r="M14" s="54">
        <v>9</v>
      </c>
      <c r="N14" s="54" t="s">
        <v>12</v>
      </c>
      <c r="O14" s="54" t="s">
        <v>12</v>
      </c>
      <c r="Q14"/>
    </row>
    <row r="15" spans="2:17" ht="17.399999999999999" customHeight="1" x14ac:dyDescent="0.3">
      <c r="B15" s="72">
        <f>((IF(C15=$J$5,$K$5,IF(C15=$J$6,$K$6,IF(C15=$J$7,$K$7,IF(C15=$J$8,$K$8,IF(C15=$J$9,$K$9,IF(C15=$J$10,$K$10,IF(C15=$J$11,$K$11,IF(C15=$J$12,$K$12,IF(C15=$J$13,$K$13,IF(C15=$J$14,$K$14,0)))))))))))*100+(IF(D15=$J$5,$L$5,IF(D15=$J$6,$K$6,IF(D15=$J$7,$L$7,IF(D15=$J$8,$L$8,IF(D15=$J$9,$L$9,IF(D15=$J$10,$L$10,IF(D15=$J$11,$L$11,IF(D15=$J$12,$L$12,IF(D15=$J$13,$L$13,IF(D15=$J$14,$L$14,0)))))))))))*10+(IF(E15=$J$5,$M$5,IF(E15=$J$6,$M$6,IF(E15=$J$7,$M$7,IF(E15=$J$8,$M$8,IF(E15=$J$9,$M$9,IF(E15=$J$10,$M$10,IF(E15=$J$11,$M$11,IF(E15=$J$12,$M$12,IF(E15=$J$13,$M$13,IF(E15=$J$14,$M$14,0))))))))))))*(IF(F15=$J$5,$N$5,IF(F15=$J$6,$N$6,IF(F15=$J$7,$N$7,IF(F15=$J$8,$N$8,IF(F15=$J$9,$N$9,IF(F15=$J$10,$N$10,IF(F15=$J$11,$N$11,IF(F15=$J$12,$N$12,IF(F15=$J$13,$N$13,IF(F15=$J$14,$N$14,IF(F15=$J$15,$N$15,IF(F15=$J$16,$N$16,1))))))))))))) * IF(ISBLANK(E15),0.1,1)</f>
        <v>100</v>
      </c>
      <c r="C15" s="4" t="s">
        <v>56</v>
      </c>
      <c r="D15" s="4" t="s">
        <v>55</v>
      </c>
      <c r="E15" s="4"/>
      <c r="F15" s="4" t="s">
        <v>56</v>
      </c>
      <c r="G15" s="2" t="s">
        <v>62</v>
      </c>
      <c r="H15" s="3">
        <v>28</v>
      </c>
      <c r="J15" s="37" t="s">
        <v>62</v>
      </c>
      <c r="K15" s="37" t="s">
        <v>12</v>
      </c>
      <c r="L15" s="37" t="s">
        <v>12</v>
      </c>
      <c r="M15" s="55" t="s">
        <v>12</v>
      </c>
      <c r="N15" s="55">
        <v>0.1</v>
      </c>
      <c r="O15" s="55" t="s">
        <v>66</v>
      </c>
      <c r="Q15"/>
    </row>
    <row r="16" spans="2:17" ht="17.399999999999999" customHeight="1" x14ac:dyDescent="0.3">
      <c r="B16" s="72">
        <f>((IF(C16=$J$5,$K$5,IF(C16=$J$6,$K$6,IF(C16=$J$7,$K$7,IF(C16=$J$8,$K$8,IF(C16=$J$9,$K$9,IF(C16=$J$10,$K$10,IF(C16=$J$11,$K$11,IF(C16=$J$12,$K$12,IF(C16=$J$13,$K$13,IF(C16=$J$14,$K$14,0)))))))))))*100+(IF(D16=$J$5,$L$5,IF(D16=$J$6,$K$6,IF(D16=$J$7,$L$7,IF(D16=$J$8,$L$8,IF(D16=$J$9,$L$9,IF(D16=$J$10,$L$10,IF(D16=$J$11,$L$11,IF(D16=$J$12,$L$12,IF(D16=$J$13,$L$13,IF(D16=$J$14,$L$14,0)))))))))))*10+(IF(E16=$J$5,$M$5,IF(E16=$J$6,$M$6,IF(E16=$J$7,$M$7,IF(E16=$J$8,$M$8,IF(E16=$J$9,$M$9,IF(E16=$J$10,$M$10,IF(E16=$J$11,$M$11,IF(E16=$J$12,$M$12,IF(E16=$J$13,$M$13,IF(E16=$J$14,$M$14,0))))))))))))*(IF(F16=$J$5,$N$5,IF(F16=$J$6,$N$6,IF(F16=$J$7,$N$7,IF(F16=$J$8,$N$8,IF(F16=$J$9,$N$9,IF(F16=$J$10,$N$10,IF(F16=$J$11,$N$11,IF(F16=$J$12,$N$12,IF(F16=$J$13,$N$13,IF(F16=$J$14,$N$14,IF(F16=$J$15,$N$15,IF(F16=$J$16,$N$16,1))))))))))))) * IF(ISBLANK(E16),0.1,1)</f>
        <v>100</v>
      </c>
      <c r="C16" s="64" t="s">
        <v>56</v>
      </c>
      <c r="D16" s="64" t="s">
        <v>55</v>
      </c>
      <c r="E16" s="64" t="s">
        <v>55</v>
      </c>
      <c r="F16" s="64" t="s">
        <v>55</v>
      </c>
      <c r="G16" s="2" t="s">
        <v>56</v>
      </c>
      <c r="H16" s="60">
        <v>2</v>
      </c>
      <c r="J16" s="38" t="s">
        <v>63</v>
      </c>
      <c r="K16" s="38" t="s">
        <v>12</v>
      </c>
      <c r="L16" s="38" t="s">
        <v>12</v>
      </c>
      <c r="M16" s="56" t="s">
        <v>12</v>
      </c>
      <c r="N16" s="56">
        <v>0.01</v>
      </c>
      <c r="O16" s="56" t="s">
        <v>71</v>
      </c>
      <c r="Q16"/>
    </row>
    <row r="17" spans="2:17" ht="17.399999999999999" customHeight="1" x14ac:dyDescent="0.3">
      <c r="B17" s="72">
        <f>((IF(C17=$J$5,$K$5,IF(C17=$J$6,$K$6,IF(C17=$J$7,$K$7,IF(C17=$J$8,$K$8,IF(C17=$J$9,$K$9,IF(C17=$J$10,$K$10,IF(C17=$J$11,$K$11,IF(C17=$J$12,$K$12,IF(C17=$J$13,$K$13,IF(C17=$J$14,$K$14,0)))))))))))*100+(IF(D17=$J$5,$L$5,IF(D17=$J$6,$K$6,IF(D17=$J$7,$L$7,IF(D17=$J$8,$L$8,IF(D17=$J$9,$L$9,IF(D17=$J$10,$L$10,IF(D17=$J$11,$L$11,IF(D17=$J$12,$L$12,IF(D17=$J$13,$L$13,IF(D17=$J$14,$L$14,0)))))))))))*10+(IF(E17=$J$5,$M$5,IF(E17=$J$6,$M$6,IF(E17=$J$7,$M$7,IF(E17=$J$8,$M$8,IF(E17=$J$9,$M$9,IF(E17=$J$10,$M$10,IF(E17=$J$11,$M$11,IF(E17=$J$12,$M$12,IF(E17=$J$13,$M$13,IF(E17=$J$14,$M$14,0))))))))))))*(IF(F17=$J$5,$N$5,IF(F17=$J$6,$N$6,IF(F17=$J$7,$N$7,IF(F17=$J$8,$N$8,IF(F17=$J$9,$N$9,IF(F17=$J$10,$N$10,IF(F17=$J$11,$N$11,IF(F17=$J$12,$N$12,IF(F17=$J$13,$N$13,IF(F17=$J$14,$N$14,IF(F17=$J$15,$N$15,IF(F17=$J$16,$N$16,1))))))))))))) * IF(ISBLANK(E17),0.1,1)</f>
        <v>120</v>
      </c>
      <c r="C17" s="4" t="s">
        <v>56</v>
      </c>
      <c r="D17" s="4" t="s">
        <v>57</v>
      </c>
      <c r="E17" s="4"/>
      <c r="F17" s="4" t="s">
        <v>56</v>
      </c>
      <c r="G17" s="2" t="s">
        <v>62</v>
      </c>
      <c r="H17" s="60">
        <v>8</v>
      </c>
      <c r="Q17"/>
    </row>
    <row r="18" spans="2:17" ht="17.399999999999999" customHeight="1" x14ac:dyDescent="0.3">
      <c r="B18" s="72">
        <f>((IF(C18=$J$5,$K$5,IF(C18=$J$6,$K$6,IF(C18=$J$7,$K$7,IF(C18=$J$8,$K$8,IF(C18=$J$9,$K$9,IF(C18=$J$10,$K$10,IF(C18=$J$11,$K$11,IF(C18=$J$12,$K$12,IF(C18=$J$13,$K$13,IF(C18=$J$14,$K$14,0)))))))))))*100+(IF(D18=$J$5,$L$5,IF(D18=$J$6,$K$6,IF(D18=$J$7,$L$7,IF(D18=$J$8,$L$8,IF(D18=$J$9,$L$9,IF(D18=$J$10,$L$10,IF(D18=$J$11,$L$11,IF(D18=$J$12,$L$12,IF(D18=$J$13,$L$13,IF(D18=$J$14,$L$14,0)))))))))))*10+(IF(E18=$J$5,$M$5,IF(E18=$J$6,$M$6,IF(E18=$J$7,$M$7,IF(E18=$J$8,$M$8,IF(E18=$J$9,$M$9,IF(E18=$J$10,$M$10,IF(E18=$J$11,$M$11,IF(E18=$J$12,$M$12,IF(E18=$J$13,$M$13,IF(E18=$J$14,$M$14,0))))))))))))*(IF(F18=$J$5,$N$5,IF(F18=$J$6,$N$6,IF(F18=$J$7,$N$7,IF(F18=$J$8,$N$8,IF(F18=$J$9,$N$9,IF(F18=$J$10,$N$10,IF(F18=$J$11,$N$11,IF(F18=$J$12,$N$12,IF(F18=$J$13,$N$13,IF(F18=$J$14,$N$14,IF(F18=$J$15,$N$15,IF(F18=$J$16,$N$16,1))))))))))))) * IF(ISBLANK(E18),0.1,1)</f>
        <v>150</v>
      </c>
      <c r="C18" s="4" t="s">
        <v>56</v>
      </c>
      <c r="D18" s="4" t="s">
        <v>48</v>
      </c>
      <c r="E18" s="4"/>
      <c r="F18" s="4" t="s">
        <v>56</v>
      </c>
      <c r="G18" s="2" t="s">
        <v>62</v>
      </c>
      <c r="H18" s="60">
        <v>3</v>
      </c>
      <c r="J18" s="68" t="s">
        <v>88</v>
      </c>
      <c r="Q18"/>
    </row>
    <row r="19" spans="2:17" ht="17.399999999999999" customHeight="1" x14ac:dyDescent="0.3">
      <c r="B19" s="72">
        <f>((IF(C19=$J$5,$K$5,IF(C19=$J$6,$K$6,IF(C19=$J$7,$K$7,IF(C19=$J$8,$K$8,IF(C19=$J$9,$K$9,IF(C19=$J$10,$K$10,IF(C19=$J$11,$K$11,IF(C19=$J$12,$K$12,IF(C19=$J$13,$K$13,IF(C19=$J$14,$K$14,0)))))))))))*100+(IF(D19=$J$5,$L$5,IF(D19=$J$6,$K$6,IF(D19=$J$7,$L$7,IF(D19=$J$8,$L$8,IF(D19=$J$9,$L$9,IF(D19=$J$10,$L$10,IF(D19=$J$11,$L$11,IF(D19=$J$12,$L$12,IF(D19=$J$13,$L$13,IF(D19=$J$14,$L$14,0)))))))))))*10+(IF(E19=$J$5,$M$5,IF(E19=$J$6,$M$6,IF(E19=$J$7,$M$7,IF(E19=$J$8,$M$8,IF(E19=$J$9,$M$9,IF(E19=$J$10,$M$10,IF(E19=$J$11,$M$11,IF(E19=$J$12,$M$12,IF(E19=$J$13,$M$13,IF(E19=$J$14,$M$14,0))))))))))))*(IF(F19=$J$5,$N$5,IF(F19=$J$6,$N$6,IF(F19=$J$7,$N$7,IF(F19=$J$8,$N$8,IF(F19=$J$9,$N$9,IF(F19=$J$10,$N$10,IF(F19=$J$11,$N$11,IF(F19=$J$12,$N$12,IF(F19=$J$13,$N$13,IF(F19=$J$14,$N$14,IF(F19=$J$15,$N$15,IF(F19=$J$16,$N$16,1))))))))))))) * IF(ISBLANK(E19),0.1,1)</f>
        <v>180</v>
      </c>
      <c r="C19" s="4" t="s">
        <v>56</v>
      </c>
      <c r="D19" s="4" t="s">
        <v>60</v>
      </c>
      <c r="E19" s="4"/>
      <c r="F19" s="4" t="s">
        <v>56</v>
      </c>
      <c r="G19" s="2" t="s">
        <v>62</v>
      </c>
      <c r="H19" s="60">
        <v>3</v>
      </c>
      <c r="J19" s="1">
        <f>SUM(Capacitores13[Qtd])</f>
        <v>369</v>
      </c>
      <c r="Q19"/>
    </row>
    <row r="20" spans="2:17" ht="17.399999999999999" customHeight="1" x14ac:dyDescent="0.3">
      <c r="B20" s="72">
        <f>((IF(C20=$J$5,$K$5,IF(C20=$J$6,$K$6,IF(C20=$J$7,$K$7,IF(C20=$J$8,$K$8,IF(C20=$J$9,$K$9,IF(C20=$J$10,$K$10,IF(C20=$J$11,$K$11,IF(C20=$J$12,$K$12,IF(C20=$J$13,$K$13,IF(C20=$J$14,$K$14,0)))))))))))*100+(IF(D20=$J$5,$L$5,IF(D20=$J$6,$K$6,IF(D20=$J$7,$L$7,IF(D20=$J$8,$L$8,IF(D20=$J$9,$L$9,IF(D20=$J$10,$L$10,IF(D20=$J$11,$L$11,IF(D20=$J$12,$L$12,IF(D20=$J$13,$L$13,IF(D20=$J$14,$L$14,0)))))))))))*10+(IF(E20=$J$5,$M$5,IF(E20=$J$6,$M$6,IF(E20=$J$7,$M$7,IF(E20=$J$8,$M$8,IF(E20=$J$9,$M$9,IF(E20=$J$10,$M$10,IF(E20=$J$11,$M$11,IF(E20=$J$12,$M$12,IF(E20=$J$13,$M$13,IF(E20=$J$14,$M$14,0))))))))))))*(IF(F20=$J$5,$N$5,IF(F20=$J$6,$N$6,IF(F20=$J$7,$N$7,IF(F20=$J$8,$N$8,IF(F20=$J$9,$N$9,IF(F20=$J$10,$N$10,IF(F20=$J$11,$N$11,IF(F20=$J$12,$N$12,IF(F20=$J$13,$N$13,IF(F20=$J$14,$N$14,IF(F20=$J$15,$N$15,IF(F20=$J$16,$N$16,1))))))))))))) * IF(ISBLANK(E20),0.1,1)</f>
        <v>220</v>
      </c>
      <c r="C20" s="4" t="s">
        <v>57</v>
      </c>
      <c r="D20" s="4" t="s">
        <v>57</v>
      </c>
      <c r="E20" s="4"/>
      <c r="F20" s="4" t="s">
        <v>56</v>
      </c>
      <c r="G20" s="2" t="s">
        <v>62</v>
      </c>
      <c r="H20" s="3">
        <v>3</v>
      </c>
      <c r="Q20"/>
    </row>
    <row r="21" spans="2:17" ht="17.399999999999999" customHeight="1" x14ac:dyDescent="0.3">
      <c r="B21" s="72">
        <f>((IF(C21=$J$5,$K$5,IF(C21=$J$6,$K$6,IF(C21=$J$7,$K$7,IF(C21=$J$8,$K$8,IF(C21=$J$9,$K$9,IF(C21=$J$10,$K$10,IF(C21=$J$11,$K$11,IF(C21=$J$12,$K$12,IF(C21=$J$13,$K$13,IF(C21=$J$14,$K$14,0)))))))))))*100+(IF(D21=$J$5,$L$5,IF(D21=$J$6,$K$6,IF(D21=$J$7,$L$7,IF(D21=$J$8,$L$8,IF(D21=$J$9,$L$9,IF(D21=$J$10,$L$10,IF(D21=$J$11,$L$11,IF(D21=$J$12,$L$12,IF(D21=$J$13,$L$13,IF(D21=$J$14,$L$14,0)))))))))))*10+(IF(E21=$J$5,$M$5,IF(E21=$J$6,$M$6,IF(E21=$J$7,$M$7,IF(E21=$J$8,$M$8,IF(E21=$J$9,$M$9,IF(E21=$J$10,$M$10,IF(E21=$J$11,$M$11,IF(E21=$J$12,$M$12,IF(E21=$J$13,$M$13,IF(E21=$J$14,$M$14,0))))))))))))*(IF(F21=$J$5,$N$5,IF(F21=$J$6,$N$6,IF(F21=$J$7,$N$7,IF(F21=$J$8,$N$8,IF(F21=$J$9,$N$9,IF(F21=$J$10,$N$10,IF(F21=$J$11,$N$11,IF(F21=$J$12,$N$12,IF(F21=$J$13,$N$13,IF(F21=$J$14,$N$14,IF(F21=$J$15,$N$15,IF(F21=$J$16,$N$16,1))))))))))))) * IF(ISBLANK(E21),0.1,1)</f>
        <v>270</v>
      </c>
      <c r="C21" s="4" t="s">
        <v>57</v>
      </c>
      <c r="D21" s="4" t="s">
        <v>59</v>
      </c>
      <c r="E21" s="4"/>
      <c r="F21" s="4" t="s">
        <v>56</v>
      </c>
      <c r="G21" s="2" t="s">
        <v>62</v>
      </c>
      <c r="H21" s="3">
        <v>33</v>
      </c>
      <c r="Q21"/>
    </row>
    <row r="22" spans="2:17" ht="17.399999999999999" customHeight="1" x14ac:dyDescent="0.3">
      <c r="B22" s="72">
        <f>((IF(C22=$J$5,$K$5,IF(C22=$J$6,$K$6,IF(C22=$J$7,$K$7,IF(C22=$J$8,$K$8,IF(C22=$J$9,$K$9,IF(C22=$J$10,$K$10,IF(C22=$J$11,$K$11,IF(C22=$J$12,$K$12,IF(C22=$J$13,$K$13,IF(C22=$J$14,$K$14,0)))))))))))*100+(IF(D22=$J$5,$L$5,IF(D22=$J$6,$K$6,IF(D22=$J$7,$L$7,IF(D22=$J$8,$L$8,IF(D22=$J$9,$L$9,IF(D22=$J$10,$L$10,IF(D22=$J$11,$L$11,IF(D22=$J$12,$L$12,IF(D22=$J$13,$L$13,IF(D22=$J$14,$L$14,0)))))))))))*10+(IF(E22=$J$5,$M$5,IF(E22=$J$6,$M$6,IF(E22=$J$7,$M$7,IF(E22=$J$8,$M$8,IF(E22=$J$9,$M$9,IF(E22=$J$10,$M$10,IF(E22=$J$11,$M$11,IF(E22=$J$12,$M$12,IF(E22=$J$13,$M$13,IF(E22=$J$14,$M$14,0))))))))))))*(IF(F22=$J$5,$N$5,IF(F22=$J$6,$N$6,IF(F22=$J$7,$N$7,IF(F22=$J$8,$N$8,IF(F22=$J$9,$N$9,IF(F22=$J$10,$N$10,IF(F22=$J$11,$N$11,IF(F22=$J$12,$N$12,IF(F22=$J$13,$N$13,IF(F22=$J$14,$N$14,IF(F22=$J$15,$N$15,IF(F22=$J$16,$N$16,1))))))))))))) * IF(ISBLANK(E22),0.1,1)</f>
        <v>390</v>
      </c>
      <c r="C22" s="4" t="s">
        <v>49</v>
      </c>
      <c r="D22" s="4" t="s">
        <v>61</v>
      </c>
      <c r="E22" s="4"/>
      <c r="F22" s="4" t="s">
        <v>56</v>
      </c>
      <c r="G22" s="2" t="s">
        <v>62</v>
      </c>
      <c r="H22" s="60">
        <v>3</v>
      </c>
      <c r="Q22"/>
    </row>
    <row r="23" spans="2:17" ht="17.399999999999999" customHeight="1" x14ac:dyDescent="0.3">
      <c r="B23" s="72">
        <f>((IF(C23=$J$5,$K$5,IF(C23=$J$6,$K$6,IF(C23=$J$7,$K$7,IF(C23=$J$8,$K$8,IF(C23=$J$9,$K$9,IF(C23=$J$10,$K$10,IF(C23=$J$11,$K$11,IF(C23=$J$12,$K$12,IF(C23=$J$13,$K$13,IF(C23=$J$14,$K$14,0)))))))))))*100+(IF(D23=$J$5,$L$5,IF(D23=$J$6,$K$6,IF(D23=$J$7,$L$7,IF(D23=$J$8,$L$8,IF(D23=$J$9,$L$9,IF(D23=$J$10,$L$10,IF(D23=$J$11,$L$11,IF(D23=$J$12,$L$12,IF(D23=$J$13,$L$13,IF(D23=$J$14,$L$14,0)))))))))))*10+(IF(E23=$J$5,$M$5,IF(E23=$J$6,$M$6,IF(E23=$J$7,$M$7,IF(E23=$J$8,$M$8,IF(E23=$J$9,$M$9,IF(E23=$J$10,$M$10,IF(E23=$J$11,$M$11,IF(E23=$J$12,$M$12,IF(E23=$J$13,$M$13,IF(E23=$J$14,$M$14,0))))))))))))*(IF(F23=$J$5,$N$5,IF(F23=$J$6,$N$6,IF(F23=$J$7,$N$7,IF(F23=$J$8,$N$8,IF(F23=$J$9,$N$9,IF(F23=$J$10,$N$10,IF(F23=$J$11,$N$11,IF(F23=$J$12,$N$12,IF(F23=$J$13,$N$13,IF(F23=$J$14,$N$14,IF(F23=$J$15,$N$15,IF(F23=$J$16,$N$16,1))))))))))))) * IF(ISBLANK(E23),0.1,1)</f>
        <v>410</v>
      </c>
      <c r="C23" s="4" t="s">
        <v>58</v>
      </c>
      <c r="D23" s="4" t="s">
        <v>56</v>
      </c>
      <c r="E23" s="4"/>
      <c r="F23" s="4" t="s">
        <v>56</v>
      </c>
      <c r="G23" s="2" t="s">
        <v>62</v>
      </c>
      <c r="H23" s="60">
        <v>1</v>
      </c>
      <c r="Q23"/>
    </row>
    <row r="24" spans="2:17" ht="17.399999999999999" customHeight="1" x14ac:dyDescent="0.3">
      <c r="B24" s="72">
        <f>((IF(C24=$J$5,$K$5,IF(C24=$J$6,$K$6,IF(C24=$J$7,$K$7,IF(C24=$J$8,$K$8,IF(C24=$J$9,$K$9,IF(C24=$J$10,$K$10,IF(C24=$J$11,$K$11,IF(C24=$J$12,$K$12,IF(C24=$J$13,$K$13,IF(C24=$J$14,$K$14,0)))))))))))*100+(IF(D24=$J$5,$L$5,IF(D24=$J$6,$K$6,IF(D24=$J$7,$L$7,IF(D24=$J$8,$L$8,IF(D24=$J$9,$L$9,IF(D24=$J$10,$L$10,IF(D24=$J$11,$L$11,IF(D24=$J$12,$L$12,IF(D24=$J$13,$L$13,IF(D24=$J$14,$L$14,0)))))))))))*10+(IF(E24=$J$5,$M$5,IF(E24=$J$6,$M$6,IF(E24=$J$7,$M$7,IF(E24=$J$8,$M$8,IF(E24=$J$9,$M$9,IF(E24=$J$10,$M$10,IF(E24=$J$11,$M$11,IF(E24=$J$12,$M$12,IF(E24=$J$13,$M$13,IF(E24=$J$14,$M$14,0))))))))))))*(IF(F24=$J$5,$N$5,IF(F24=$J$6,$N$6,IF(F24=$J$7,$N$7,IF(F24=$J$8,$N$8,IF(F24=$J$9,$N$9,IF(F24=$J$10,$N$10,IF(F24=$J$11,$N$11,IF(F24=$J$12,$N$12,IF(F24=$J$13,$N$13,IF(F24=$J$14,$N$14,IF(F24=$J$15,$N$15,IF(F24=$J$16,$N$16,1))))))))))))) * IF(ISBLANK(E24),0.1,1)</f>
        <v>560</v>
      </c>
      <c r="C24" s="4" t="s">
        <v>48</v>
      </c>
      <c r="D24" s="4" t="s">
        <v>5</v>
      </c>
      <c r="E24" s="4"/>
      <c r="F24" s="4" t="s">
        <v>56</v>
      </c>
      <c r="G24" s="2" t="s">
        <v>62</v>
      </c>
      <c r="H24" s="60">
        <v>29</v>
      </c>
      <c r="Q24"/>
    </row>
    <row r="25" spans="2:17" ht="17.399999999999999" customHeight="1" x14ac:dyDescent="0.3">
      <c r="B25" s="72">
        <f>((IF(C25=$J$5,$K$5,IF(C25=$J$6,$K$6,IF(C25=$J$7,$K$7,IF(C25=$J$8,$K$8,IF(C25=$J$9,$K$9,IF(C25=$J$10,$K$10,IF(C25=$J$11,$K$11,IF(C25=$J$12,$K$12,IF(C25=$J$13,$K$13,IF(C25=$J$14,$K$14,0)))))))))))*100+(IF(D25=$J$5,$L$5,IF(D25=$J$6,$K$6,IF(D25=$J$7,$L$7,IF(D25=$J$8,$L$8,IF(D25=$J$9,$L$9,IF(D25=$J$10,$L$10,IF(D25=$J$11,$L$11,IF(D25=$J$12,$L$12,IF(D25=$J$13,$L$13,IF(D25=$J$14,$L$14,0)))))))))))*10+(IF(E25=$J$5,$M$5,IF(E25=$J$6,$M$6,IF(E25=$J$7,$M$7,IF(E25=$J$8,$M$8,IF(E25=$J$9,$M$9,IF(E25=$J$10,$M$10,IF(E25=$J$11,$M$11,IF(E25=$J$12,$M$12,IF(E25=$J$13,$M$13,IF(E25=$J$14,$M$14,0))))))))))))*(IF(F25=$J$5,$N$5,IF(F25=$J$6,$N$6,IF(F25=$J$7,$N$7,IF(F25=$J$8,$N$8,IF(F25=$J$9,$N$9,IF(F25=$J$10,$N$10,IF(F25=$J$11,$N$11,IF(F25=$J$12,$N$12,IF(F25=$J$13,$N$13,IF(F25=$J$14,$N$14,IF(F25=$J$15,$N$15,IF(F25=$J$16,$N$16,1))))))))))))) * IF(ISBLANK(E25),0.1,1)</f>
        <v>650</v>
      </c>
      <c r="C25" s="4" t="s">
        <v>5</v>
      </c>
      <c r="D25" s="4" t="s">
        <v>48</v>
      </c>
      <c r="E25" s="4"/>
      <c r="F25" s="4" t="s">
        <v>56</v>
      </c>
      <c r="G25" s="2" t="s">
        <v>62</v>
      </c>
      <c r="H25" s="3">
        <v>4</v>
      </c>
      <c r="Q25"/>
    </row>
    <row r="26" spans="2:17" ht="17.399999999999999" customHeight="1" x14ac:dyDescent="0.3">
      <c r="B26" s="72">
        <f>((IF(C26=$J$5,$K$5,IF(C26=$J$6,$K$6,IF(C26=$J$7,$K$7,IF(C26=$J$8,$K$8,IF(C26=$J$9,$K$9,IF(C26=$J$10,$K$10,IF(C26=$J$11,$K$11,IF(C26=$J$12,$K$12,IF(C26=$J$13,$K$13,IF(C26=$J$14,$K$14,0)))))))))))*100+(IF(D26=$J$5,$L$5,IF(D26=$J$6,$K$6,IF(D26=$J$7,$L$7,IF(D26=$J$8,$L$8,IF(D26=$J$9,$L$9,IF(D26=$J$10,$L$10,IF(D26=$J$11,$L$11,IF(D26=$J$12,$L$12,IF(D26=$J$13,$L$13,IF(D26=$J$14,$L$14,0)))))))))))*10+(IF(E26=$J$5,$M$5,IF(E26=$J$6,$M$6,IF(E26=$J$7,$M$7,IF(E26=$J$8,$M$8,IF(E26=$J$9,$M$9,IF(E26=$J$10,$M$10,IF(E26=$J$11,$M$11,IF(E26=$J$12,$M$12,IF(E26=$J$13,$M$13,IF(E26=$J$14,$M$14,0))))))))))))*(IF(F26=$J$5,$N$5,IF(F26=$J$6,$N$6,IF(F26=$J$7,$N$7,IF(F26=$J$8,$N$8,IF(F26=$J$9,$N$9,IF(F26=$J$10,$N$10,IF(F26=$J$11,$N$11,IF(F26=$J$12,$N$12,IF(F26=$J$13,$N$13,IF(F26=$J$14,$N$14,IF(F26=$J$15,$N$15,IF(F26=$J$16,$N$16,1))))))))))))) * IF(ISBLANK(E26),0.1,1)</f>
        <v>680</v>
      </c>
      <c r="C26" s="4" t="s">
        <v>5</v>
      </c>
      <c r="D26" s="4" t="s">
        <v>60</v>
      </c>
      <c r="E26" s="4"/>
      <c r="F26" s="4" t="s">
        <v>56</v>
      </c>
      <c r="G26" s="2" t="s">
        <v>62</v>
      </c>
      <c r="H26" s="60">
        <v>1</v>
      </c>
      <c r="Q26"/>
    </row>
    <row r="27" spans="2:17" ht="17.399999999999999" customHeight="1" x14ac:dyDescent="0.3">
      <c r="B27" s="72">
        <f>((IF(C27=$J$5,$K$5,IF(C27=$J$6,$K$6,IF(C27=$J$7,$K$7,IF(C27=$J$8,$K$8,IF(C27=$J$9,$K$9,IF(C27=$J$10,$K$10,IF(C27=$J$11,$K$11,IF(C27=$J$12,$K$12,IF(C27=$J$13,$K$13,IF(C27=$J$14,$K$14,0)))))))))))*100+(IF(D27=$J$5,$L$5,IF(D27=$J$6,$K$6,IF(D27=$J$7,$L$7,IF(D27=$J$8,$L$8,IF(D27=$J$9,$L$9,IF(D27=$J$10,$L$10,IF(D27=$J$11,$L$11,IF(D27=$J$12,$L$12,IF(D27=$J$13,$L$13,IF(D27=$J$14,$L$14,0)))))))))))*10+(IF(E27=$J$5,$M$5,IF(E27=$J$6,$M$6,IF(E27=$J$7,$M$7,IF(E27=$J$8,$M$8,IF(E27=$J$9,$M$9,IF(E27=$J$10,$M$10,IF(E27=$J$11,$M$11,IF(E27=$J$12,$M$12,IF(E27=$J$13,$M$13,IF(E27=$J$14,$M$14,0))))))))))))*(IF(F27=$J$5,$N$5,IF(F27=$J$6,$N$6,IF(F27=$J$7,$N$7,IF(F27=$J$8,$N$8,IF(F27=$J$9,$N$9,IF(F27=$J$10,$N$10,IF(F27=$J$11,$N$11,IF(F27=$J$12,$N$12,IF(F27=$J$13,$N$13,IF(F27=$J$14,$N$14,IF(F27=$J$15,$N$15,IF(F27=$J$16,$N$16,1))))))))))))) * IF(ISBLANK(E27),0.1,1)</f>
        <v>1000</v>
      </c>
      <c r="C27" s="4" t="s">
        <v>56</v>
      </c>
      <c r="D27" s="4" t="s">
        <v>55</v>
      </c>
      <c r="E27" s="4"/>
      <c r="F27" s="4" t="s">
        <v>57</v>
      </c>
      <c r="G27" s="2" t="s">
        <v>62</v>
      </c>
      <c r="H27" s="60">
        <v>22</v>
      </c>
      <c r="Q27"/>
    </row>
    <row r="28" spans="2:17" ht="17.399999999999999" customHeight="1" x14ac:dyDescent="0.3">
      <c r="B28" s="72">
        <f>((IF(C28=$J$5,$K$5,IF(C28=$J$6,$K$6,IF(C28=$J$7,$K$7,IF(C28=$J$8,$K$8,IF(C28=$J$9,$K$9,IF(C28=$J$10,$K$10,IF(C28=$J$11,$K$11,IF(C28=$J$12,$K$12,IF(C28=$J$13,$K$13,IF(C28=$J$14,$K$14,0)))))))))))*100+(IF(D28=$J$5,$L$5,IF(D28=$J$6,$K$6,IF(D28=$J$7,$L$7,IF(D28=$J$8,$L$8,IF(D28=$J$9,$L$9,IF(D28=$J$10,$L$10,IF(D28=$J$11,$L$11,IF(D28=$J$12,$L$12,IF(D28=$J$13,$L$13,IF(D28=$J$14,$L$14,0)))))))))))*10+(IF(E28=$J$5,$M$5,IF(E28=$J$6,$M$6,IF(E28=$J$7,$M$7,IF(E28=$J$8,$M$8,IF(E28=$J$9,$M$9,IF(E28=$J$10,$M$10,IF(E28=$J$11,$M$11,IF(E28=$J$12,$M$12,IF(E28=$J$13,$M$13,IF(E28=$J$14,$M$14,0))))))))))))*(IF(F28=$J$5,$N$5,IF(F28=$J$6,$N$6,IF(F28=$J$7,$N$7,IF(F28=$J$8,$N$8,IF(F28=$J$9,$N$9,IF(F28=$J$10,$N$10,IF(F28=$J$11,$N$11,IF(F28=$J$12,$N$12,IF(F28=$J$13,$N$13,IF(F28=$J$14,$N$14,IF(F28=$J$15,$N$15,IF(F28=$J$16,$N$16,1))))))))))))) * IF(ISBLANK(E28),0.1,1)</f>
        <v>1500</v>
      </c>
      <c r="C28" s="4" t="s">
        <v>56</v>
      </c>
      <c r="D28" s="4" t="s">
        <v>48</v>
      </c>
      <c r="E28" s="4"/>
      <c r="F28" s="4" t="s">
        <v>57</v>
      </c>
      <c r="G28" s="2" t="s">
        <v>62</v>
      </c>
      <c r="H28" s="60">
        <v>2</v>
      </c>
      <c r="Q28"/>
    </row>
    <row r="29" spans="2:17" ht="17.399999999999999" customHeight="1" x14ac:dyDescent="0.3">
      <c r="B29" s="73">
        <v>1500</v>
      </c>
      <c r="C29" s="64"/>
      <c r="D29" s="64"/>
      <c r="E29" s="64"/>
      <c r="F29" s="64"/>
      <c r="G29" s="65" t="s">
        <v>57</v>
      </c>
      <c r="H29" s="60">
        <v>5</v>
      </c>
      <c r="Q29"/>
    </row>
    <row r="30" spans="2:17" ht="17.399999999999999" customHeight="1" x14ac:dyDescent="0.3">
      <c r="B30" s="72">
        <f>((IF(C30=$J$5,$K$5,IF(C30=$J$6,$K$6,IF(C30=$J$7,$K$7,IF(C30=$J$8,$K$8,IF(C30=$J$9,$K$9,IF(C30=$J$10,$K$10,IF(C30=$J$11,$K$11,IF(C30=$J$12,$K$12,IF(C30=$J$13,$K$13,IF(C30=$J$14,$K$14,0)))))))))))*100+(IF(D30=$J$5,$L$5,IF(D30=$J$6,$K$6,IF(D30=$J$7,$L$7,IF(D30=$J$8,$L$8,IF(D30=$J$9,$L$9,IF(D30=$J$10,$L$10,IF(D30=$J$11,$L$11,IF(D30=$J$12,$L$12,IF(D30=$J$13,$L$13,IF(D30=$J$14,$L$14,0)))))))))))*10+(IF(E30=$J$5,$M$5,IF(E30=$J$6,$M$6,IF(E30=$J$7,$M$7,IF(E30=$J$8,$M$8,IF(E30=$J$9,$M$9,IF(E30=$J$10,$M$10,IF(E30=$J$11,$M$11,IF(E30=$J$12,$M$12,IF(E30=$J$13,$M$13,IF(E30=$J$14,$M$14,0))))))))))))*(IF(F30=$J$5,$N$5,IF(F30=$J$6,$N$6,IF(F30=$J$7,$N$7,IF(F30=$J$8,$N$8,IF(F30=$J$9,$N$9,IF(F30=$J$10,$N$10,IF(F30=$J$11,$N$11,IF(F30=$J$12,$N$12,IF(F30=$J$13,$N$13,IF(F30=$J$14,$N$14,IF(F30=$J$15,$N$15,IF(F30=$J$16,$N$16,1))))))))))))) * IF(ISBLANK(E30),0.1,1)</f>
        <v>1540</v>
      </c>
      <c r="C30" s="64" t="s">
        <v>56</v>
      </c>
      <c r="D30" s="64" t="s">
        <v>48</v>
      </c>
      <c r="E30" s="64" t="s">
        <v>58</v>
      </c>
      <c r="F30" s="4" t="s">
        <v>56</v>
      </c>
      <c r="G30" s="2" t="s">
        <v>56</v>
      </c>
      <c r="H30" s="3">
        <v>6</v>
      </c>
      <c r="J30" s="24" t="s">
        <v>1</v>
      </c>
      <c r="Q30"/>
    </row>
    <row r="31" spans="2:17" ht="17.399999999999999" customHeight="1" x14ac:dyDescent="0.3">
      <c r="B31" s="72">
        <f>((IF(C31=$J$5,$K$5,IF(C31=$J$6,$K$6,IF(C31=$J$7,$K$7,IF(C31=$J$8,$K$8,IF(C31=$J$9,$K$9,IF(C31=$J$10,$K$10,IF(C31=$J$11,$K$11,IF(C31=$J$12,$K$12,IF(C31=$J$13,$K$13,IF(C31=$J$14,$K$14,0)))))))))))*100+(IF(D31=$J$5,$L$5,IF(D31=$J$6,$K$6,IF(D31=$J$7,$L$7,IF(D31=$J$8,$L$8,IF(D31=$J$9,$L$9,IF(D31=$J$10,$L$10,IF(D31=$J$11,$L$11,IF(D31=$J$12,$L$12,IF(D31=$J$13,$L$13,IF(D31=$J$14,$L$14,0)))))))))))*10+(IF(E31=$J$5,$M$5,IF(E31=$J$6,$M$6,IF(E31=$J$7,$M$7,IF(E31=$J$8,$M$8,IF(E31=$J$9,$M$9,IF(E31=$J$10,$M$10,IF(E31=$J$11,$M$11,IF(E31=$J$12,$M$12,IF(E31=$J$13,$M$13,IF(E31=$J$14,$M$14,0))))))))))))*(IF(F31=$J$5,$N$5,IF(F31=$J$6,$N$6,IF(F31=$J$7,$N$7,IF(F31=$J$8,$N$8,IF(F31=$J$9,$N$9,IF(F31=$J$10,$N$10,IF(F31=$J$11,$N$11,IF(F31=$J$12,$N$12,IF(F31=$J$13,$N$13,IF(F31=$J$14,$N$14,IF(F31=$J$15,$N$15,IF(F31=$J$16,$N$16,1))))))))))))) * IF(ISBLANK(E31),0.1,1)</f>
        <v>2200</v>
      </c>
      <c r="C31" s="4" t="s">
        <v>57</v>
      </c>
      <c r="D31" s="4" t="s">
        <v>57</v>
      </c>
      <c r="E31" s="4"/>
      <c r="F31" s="4" t="s">
        <v>57</v>
      </c>
      <c r="G31" s="2" t="s">
        <v>62</v>
      </c>
      <c r="H31" s="3">
        <v>2</v>
      </c>
      <c r="J31" s="24" t="s">
        <v>17</v>
      </c>
      <c r="Q31"/>
    </row>
    <row r="32" spans="2:17" ht="17.399999999999999" customHeight="1" x14ac:dyDescent="0.3">
      <c r="B32" s="72">
        <f>((IF(C32=$J$5,$K$5,IF(C32=$J$6,$K$6,IF(C32=$J$7,$K$7,IF(C32=$J$8,$K$8,IF(C32=$J$9,$K$9,IF(C32=$J$10,$K$10,IF(C32=$J$11,$K$11,IF(C32=$J$12,$K$12,IF(C32=$J$13,$K$13,IF(C32=$J$14,$K$14,0)))))))))))*100+(IF(D32=$J$5,$L$5,IF(D32=$J$6,$K$6,IF(D32=$J$7,$L$7,IF(D32=$J$8,$L$8,IF(D32=$J$9,$L$9,IF(D32=$J$10,$L$10,IF(D32=$J$11,$L$11,IF(D32=$J$12,$L$12,IF(D32=$J$13,$L$13,IF(D32=$J$14,$L$14,0)))))))))))*10+(IF(E32=$J$5,$M$5,IF(E32=$J$6,$M$6,IF(E32=$J$7,$M$7,IF(E32=$J$8,$M$8,IF(E32=$J$9,$M$9,IF(E32=$J$10,$M$10,IF(E32=$J$11,$M$11,IF(E32=$J$12,$M$12,IF(E32=$J$13,$M$13,IF(E32=$J$14,$M$14,0))))))))))))*(IF(F32=$J$5,$N$5,IF(F32=$J$6,$N$6,IF(F32=$J$7,$N$7,IF(F32=$J$8,$N$8,IF(F32=$J$9,$N$9,IF(F32=$J$10,$N$10,IF(F32=$J$11,$N$11,IF(F32=$J$12,$N$12,IF(F32=$J$13,$N$13,IF(F32=$J$14,$N$14,IF(F32=$J$15,$N$15,IF(F32=$J$16,$N$16,1))))))))))))) * IF(ISBLANK(E32),0.1,1)</f>
        <v>2200</v>
      </c>
      <c r="C32" s="64" t="s">
        <v>57</v>
      </c>
      <c r="D32" s="64" t="s">
        <v>57</v>
      </c>
      <c r="E32" s="64"/>
      <c r="F32" s="64" t="s">
        <v>57</v>
      </c>
      <c r="G32" s="2" t="s">
        <v>58</v>
      </c>
      <c r="H32" s="60">
        <v>5</v>
      </c>
      <c r="J32" s="24" t="s">
        <v>18</v>
      </c>
      <c r="Q32"/>
    </row>
    <row r="33" spans="2:17" ht="17.399999999999999" customHeight="1" x14ac:dyDescent="0.3">
      <c r="B33" s="72">
        <f>((IF(C33=$J$5,$K$5,IF(C33=$J$6,$K$6,IF(C33=$J$7,$K$7,IF(C33=$J$8,$K$8,IF(C33=$J$9,$K$9,IF(C33=$J$10,$K$10,IF(C33=$J$11,$K$11,IF(C33=$J$12,$K$12,IF(C33=$J$13,$K$13,IF(C33=$J$14,$K$14,0)))))))))))*100+(IF(D33=$J$5,$L$5,IF(D33=$J$6,$K$6,IF(D33=$J$7,$L$7,IF(D33=$J$8,$L$8,IF(D33=$J$9,$L$9,IF(D33=$J$10,$L$10,IF(D33=$J$11,$L$11,IF(D33=$J$12,$L$12,IF(D33=$J$13,$L$13,IF(D33=$J$14,$L$14,0)))))))))))*10+(IF(E33=$J$5,$M$5,IF(E33=$J$6,$M$6,IF(E33=$J$7,$M$7,IF(E33=$J$8,$M$8,IF(E33=$J$9,$M$9,IF(E33=$J$10,$M$10,IF(E33=$J$11,$M$11,IF(E33=$J$12,$M$12,IF(E33=$J$13,$M$13,IF(E33=$J$14,$M$14,0))))))))))))*(IF(F33=$J$5,$N$5,IF(F33=$J$6,$N$6,IF(F33=$J$7,$N$7,IF(F33=$J$8,$N$8,IF(F33=$J$9,$N$9,IF(F33=$J$10,$N$10,IF(F33=$J$11,$N$11,IF(F33=$J$12,$N$12,IF(F33=$J$13,$N$13,IF(F33=$J$14,$N$14,IF(F33=$J$15,$N$15,IF(F33=$J$16,$N$16,1))))))))))))) * IF(ISBLANK(E33),0.1,1)</f>
        <v>3300</v>
      </c>
      <c r="C33" s="4" t="s">
        <v>49</v>
      </c>
      <c r="D33" s="4" t="s">
        <v>49</v>
      </c>
      <c r="E33" s="4"/>
      <c r="F33" s="4" t="s">
        <v>57</v>
      </c>
      <c r="G33" s="2" t="s">
        <v>62</v>
      </c>
      <c r="H33" s="3">
        <v>1</v>
      </c>
      <c r="J33" s="24" t="s">
        <v>19</v>
      </c>
      <c r="Q33"/>
    </row>
    <row r="34" spans="2:17" ht="17.399999999999999" customHeight="1" x14ac:dyDescent="0.3">
      <c r="B34" s="72">
        <f>((IF(C34=$J$5,$K$5,IF(C34=$J$6,$K$6,IF(C34=$J$7,$K$7,IF(C34=$J$8,$K$8,IF(C34=$J$9,$K$9,IF(C34=$J$10,$K$10,IF(C34=$J$11,$K$11,IF(C34=$J$12,$K$12,IF(C34=$J$13,$K$13,IF(C34=$J$14,$K$14,0)))))))))))*100+(IF(D34=$J$5,$L$5,IF(D34=$J$6,$K$6,IF(D34=$J$7,$L$7,IF(D34=$J$8,$L$8,IF(D34=$J$9,$L$9,IF(D34=$J$10,$L$10,IF(D34=$J$11,$L$11,IF(D34=$J$12,$L$12,IF(D34=$J$13,$L$13,IF(D34=$J$14,$L$14,0)))))))))))*10+(IF(E34=$J$5,$M$5,IF(E34=$J$6,$M$6,IF(E34=$J$7,$M$7,IF(E34=$J$8,$M$8,IF(E34=$J$9,$M$9,IF(E34=$J$10,$M$10,IF(E34=$J$11,$M$11,IF(E34=$J$12,$M$12,IF(E34=$J$13,$M$13,IF(E34=$J$14,$M$14,0))))))))))))*(IF(F34=$J$5,$N$5,IF(F34=$J$6,$N$6,IF(F34=$J$7,$N$7,IF(F34=$J$8,$N$8,IF(F34=$J$9,$N$9,IF(F34=$J$10,$N$10,IF(F34=$J$11,$N$11,IF(F34=$J$12,$N$12,IF(F34=$J$13,$N$13,IF(F34=$J$14,$N$14,IF(F34=$J$15,$N$15,IF(F34=$J$16,$N$16,1))))))))))))) * IF(ISBLANK(E34),0.1,1)</f>
        <v>3900</v>
      </c>
      <c r="C34" s="4" t="s">
        <v>49</v>
      </c>
      <c r="D34" s="4" t="s">
        <v>61</v>
      </c>
      <c r="E34" s="4"/>
      <c r="F34" s="4" t="s">
        <v>57</v>
      </c>
      <c r="G34" s="2" t="s">
        <v>62</v>
      </c>
      <c r="H34" s="60">
        <v>1</v>
      </c>
      <c r="J34" s="24" t="s">
        <v>20</v>
      </c>
      <c r="Q34"/>
    </row>
    <row r="35" spans="2:17" ht="17.399999999999999" customHeight="1" x14ac:dyDescent="0.3">
      <c r="B35" s="72">
        <f>((IF(C35=$J$5,$K$5,IF(C35=$J$6,$K$6,IF(C35=$J$7,$K$7,IF(C35=$J$8,$K$8,IF(C35=$J$9,$K$9,IF(C35=$J$10,$K$10,IF(C35=$J$11,$K$11,IF(C35=$J$12,$K$12,IF(C35=$J$13,$K$13,IF(C35=$J$14,$K$14,0)))))))))))*100+(IF(D35=$J$5,$L$5,IF(D35=$J$6,$K$6,IF(D35=$J$7,$L$7,IF(D35=$J$8,$L$8,IF(D35=$J$9,$L$9,IF(D35=$J$10,$L$10,IF(D35=$J$11,$L$11,IF(D35=$J$12,$L$12,IF(D35=$J$13,$L$13,IF(D35=$J$14,$L$14,0)))))))))))*10+(IF(E35=$J$5,$M$5,IF(E35=$J$6,$M$6,IF(E35=$J$7,$M$7,IF(E35=$J$8,$M$8,IF(E35=$J$9,$M$9,IF(E35=$J$10,$M$10,IF(E35=$J$11,$M$11,IF(E35=$J$12,$M$12,IF(E35=$J$13,$M$13,IF(E35=$J$14,$M$14,0))))))))))))*(IF(F35=$J$5,$N$5,IF(F35=$J$6,$N$6,IF(F35=$J$7,$N$7,IF(F35=$J$8,$N$8,IF(F35=$J$9,$N$9,IF(F35=$J$10,$N$10,IF(F35=$J$11,$N$11,IF(F35=$J$12,$N$12,IF(F35=$J$13,$N$13,IF(F35=$J$14,$N$14,IF(F35=$J$15,$N$15,IF(F35=$J$16,$N$16,1))))))))))))) * IF(ISBLANK(E35),0.1,1)</f>
        <v>4700</v>
      </c>
      <c r="C35" s="4" t="s">
        <v>58</v>
      </c>
      <c r="D35" s="4" t="s">
        <v>59</v>
      </c>
      <c r="E35" s="4"/>
      <c r="F35" s="4" t="s">
        <v>57</v>
      </c>
      <c r="G35" s="2" t="s">
        <v>62</v>
      </c>
      <c r="H35" s="60">
        <v>55</v>
      </c>
      <c r="J35" s="24" t="s">
        <v>21</v>
      </c>
      <c r="Q35"/>
    </row>
    <row r="36" spans="2:17" ht="17.399999999999999" customHeight="1" x14ac:dyDescent="0.3">
      <c r="B36" s="72">
        <f>((IF(C36=$J$5,$K$5,IF(C36=$J$6,$K$6,IF(C36=$J$7,$K$7,IF(C36=$J$8,$K$8,IF(C36=$J$9,$K$9,IF(C36=$J$10,$K$10,IF(C36=$J$11,$K$11,IF(C36=$J$12,$K$12,IF(C36=$J$13,$K$13,IF(C36=$J$14,$K$14,0)))))))))))*100+(IF(D36=$J$5,$L$5,IF(D36=$J$6,$K$6,IF(D36=$J$7,$L$7,IF(D36=$J$8,$L$8,IF(D36=$J$9,$L$9,IF(D36=$J$10,$L$10,IF(D36=$J$11,$L$11,IF(D36=$J$12,$L$12,IF(D36=$J$13,$L$13,IF(D36=$J$14,$L$14,0)))))))))))*10+(IF(E36=$J$5,$M$5,IF(E36=$J$6,$M$6,IF(E36=$J$7,$M$7,IF(E36=$J$8,$M$8,IF(E36=$J$9,$M$9,IF(E36=$J$10,$M$10,IF(E36=$J$11,$M$11,IF(E36=$J$12,$M$12,IF(E36=$J$13,$M$13,IF(E36=$J$14,$M$14,0))))))))))))*(IF(F36=$J$5,$N$5,IF(F36=$J$6,$N$6,IF(F36=$J$7,$N$7,IF(F36=$J$8,$N$8,IF(F36=$J$9,$N$9,IF(F36=$J$10,$N$10,IF(F36=$J$11,$N$11,IF(F36=$J$12,$N$12,IF(F36=$J$13,$N$13,IF(F36=$J$14,$N$14,IF(F36=$J$15,$N$15,IF(F36=$J$16,$N$16,1))))))))))))) * IF(ISBLANK(E36),0.1,1)</f>
        <v>5000</v>
      </c>
      <c r="C36" s="4" t="s">
        <v>55</v>
      </c>
      <c r="D36" s="4" t="s">
        <v>48</v>
      </c>
      <c r="E36" s="4"/>
      <c r="F36" s="4" t="s">
        <v>49</v>
      </c>
      <c r="G36" s="2" t="s">
        <v>62</v>
      </c>
      <c r="H36" s="60">
        <v>3</v>
      </c>
      <c r="J36" s="24" t="s">
        <v>22</v>
      </c>
      <c r="Q36"/>
    </row>
    <row r="37" spans="2:17" ht="17.399999999999999" customHeight="1" x14ac:dyDescent="0.3">
      <c r="B37" s="72">
        <f>((IF(C37=$J$5,$K$5,IF(C37=$J$6,$K$6,IF(C37=$J$7,$K$7,IF(C37=$J$8,$K$8,IF(C37=$J$9,$K$9,IF(C37=$J$10,$K$10,IF(C37=$J$11,$K$11,IF(C37=$J$12,$K$12,IF(C37=$J$13,$K$13,IF(C37=$J$14,$K$14,0)))))))))))*100+(IF(D37=$J$5,$L$5,IF(D37=$J$6,$K$6,IF(D37=$J$7,$L$7,IF(D37=$J$8,$L$8,IF(D37=$J$9,$L$9,IF(D37=$J$10,$L$10,IF(D37=$J$11,$L$11,IF(D37=$J$12,$L$12,IF(D37=$J$13,$L$13,IF(D37=$J$14,$L$14,0)))))))))))*10+(IF(E37=$J$5,$M$5,IF(E37=$J$6,$M$6,IF(E37=$J$7,$M$7,IF(E37=$J$8,$M$8,IF(E37=$J$9,$M$9,IF(E37=$J$10,$M$10,IF(E37=$J$11,$M$11,IF(E37=$J$12,$M$12,IF(E37=$J$13,$M$13,IF(E37=$J$14,$M$14,0))))))))))))*(IF(F37=$J$5,$N$5,IF(F37=$J$6,$N$6,IF(F37=$J$7,$N$7,IF(F37=$J$8,$N$8,IF(F37=$J$9,$N$9,IF(F37=$J$10,$N$10,IF(F37=$J$11,$N$11,IF(F37=$J$12,$N$12,IF(F37=$J$13,$N$13,IF(F37=$J$14,$N$14,IF(F37=$J$15,$N$15,IF(F37=$J$16,$N$16,1))))))))))))) * IF(ISBLANK(E37),0.1,1)</f>
        <v>5600</v>
      </c>
      <c r="C37" s="4" t="s">
        <v>48</v>
      </c>
      <c r="D37" s="4" t="s">
        <v>5</v>
      </c>
      <c r="E37" s="4"/>
      <c r="F37" s="4" t="s">
        <v>57</v>
      </c>
      <c r="G37" s="2" t="s">
        <v>62</v>
      </c>
      <c r="H37" s="60">
        <v>2</v>
      </c>
      <c r="J37" s="24" t="s">
        <v>23</v>
      </c>
      <c r="Q37"/>
    </row>
    <row r="38" spans="2:17" ht="17.399999999999999" customHeight="1" x14ac:dyDescent="0.3">
      <c r="B38" s="72">
        <f>((IF(C38=$J$5,$K$5,IF(C38=$J$6,$K$6,IF(C38=$J$7,$K$7,IF(C38=$J$8,$K$8,IF(C38=$J$9,$K$9,IF(C38=$J$10,$K$10,IF(C38=$J$11,$K$11,IF(C38=$J$12,$K$12,IF(C38=$J$13,$K$13,IF(C38=$J$14,$K$14,0)))))))))))*100+(IF(D38=$J$5,$L$5,IF(D38=$J$6,$K$6,IF(D38=$J$7,$L$7,IF(D38=$J$8,$L$8,IF(D38=$J$9,$L$9,IF(D38=$J$10,$L$10,IF(D38=$J$11,$L$11,IF(D38=$J$12,$L$12,IF(D38=$J$13,$L$13,IF(D38=$J$14,$L$14,0)))))))))))*10+(IF(E38=$J$5,$M$5,IF(E38=$J$6,$M$6,IF(E38=$J$7,$M$7,IF(E38=$J$8,$M$8,IF(E38=$J$9,$M$9,IF(E38=$J$10,$M$10,IF(E38=$J$11,$M$11,IF(E38=$J$12,$M$12,IF(E38=$J$13,$M$13,IF(E38=$J$14,$M$14,0))))))))))))*(IF(F38=$J$5,$N$5,IF(F38=$J$6,$N$6,IF(F38=$J$7,$N$7,IF(F38=$J$8,$N$8,IF(F38=$J$9,$N$9,IF(F38=$J$10,$N$10,IF(F38=$J$11,$N$11,IF(F38=$J$12,$N$12,IF(F38=$J$13,$N$13,IF(F38=$J$14,$N$14,IF(F38=$J$15,$N$15,IF(F38=$J$16,$N$16,1))))))))))))) * IF(ISBLANK(E38),0.1,1)</f>
        <v>6500</v>
      </c>
      <c r="C38" s="4" t="s">
        <v>5</v>
      </c>
      <c r="D38" s="4" t="s">
        <v>48</v>
      </c>
      <c r="E38" s="4"/>
      <c r="F38" s="4" t="s">
        <v>57</v>
      </c>
      <c r="G38" s="2" t="s">
        <v>62</v>
      </c>
      <c r="H38" s="3">
        <v>8</v>
      </c>
      <c r="J38" s="24"/>
      <c r="Q38"/>
    </row>
    <row r="39" spans="2:17" ht="17.399999999999999" customHeight="1" x14ac:dyDescent="0.3">
      <c r="B39" s="72">
        <f>((IF(C39=$J$5,$K$5,IF(C39=$J$6,$K$6,IF(C39=$J$7,$K$7,IF(C39=$J$8,$K$8,IF(C39=$J$9,$K$9,IF(C39=$J$10,$K$10,IF(C39=$J$11,$K$11,IF(C39=$J$12,$K$12,IF(C39=$J$13,$K$13,IF(C39=$J$14,$K$14,0)))))))))))*100+(IF(D39=$J$5,$L$5,IF(D39=$J$6,$K$6,IF(D39=$J$7,$L$7,IF(D39=$J$8,$L$8,IF(D39=$J$9,$L$9,IF(D39=$J$10,$L$10,IF(D39=$J$11,$L$11,IF(D39=$J$12,$L$12,IF(D39=$J$13,$L$13,IF(D39=$J$14,$L$14,0)))))))))))*10+(IF(E39=$J$5,$M$5,IF(E39=$J$6,$M$6,IF(E39=$J$7,$M$7,IF(E39=$J$8,$M$8,IF(E39=$J$9,$M$9,IF(E39=$J$10,$M$10,IF(E39=$J$11,$M$11,IF(E39=$J$12,$M$12,IF(E39=$J$13,$M$13,IF(E39=$J$14,$M$14,0))))))))))))*(IF(F39=$J$5,$N$5,IF(F39=$J$6,$N$6,IF(F39=$J$7,$N$7,IF(F39=$J$8,$N$8,IF(F39=$J$9,$N$9,IF(F39=$J$10,$N$10,IF(F39=$J$11,$N$11,IF(F39=$J$12,$N$12,IF(F39=$J$13,$N$13,IF(F39=$J$14,$N$14,IF(F39=$J$15,$N$15,IF(F39=$J$16,$N$16,1))))))))))))) * IF(ISBLANK(E39),0.1,1)</f>
        <v>6800</v>
      </c>
      <c r="C39" s="4" t="s">
        <v>5</v>
      </c>
      <c r="D39" s="4" t="s">
        <v>60</v>
      </c>
      <c r="E39" s="4"/>
      <c r="F39" s="4" t="s">
        <v>57</v>
      </c>
      <c r="G39" s="2" t="s">
        <v>62</v>
      </c>
      <c r="H39" s="3">
        <v>1</v>
      </c>
      <c r="J39" s="24"/>
      <c r="Q39"/>
    </row>
    <row r="40" spans="2:17" ht="17.399999999999999" customHeight="1" x14ac:dyDescent="0.3">
      <c r="B40" s="72">
        <f>((IF(C40=$J$5,$K$5,IF(C40=$J$6,$K$6,IF(C40=$J$7,$K$7,IF(C40=$J$8,$K$8,IF(C40=$J$9,$K$9,IF(C40=$J$10,$K$10,IF(C40=$J$11,$K$11,IF(C40=$J$12,$K$12,IF(C40=$J$13,$K$13,IF(C40=$J$14,$K$14,0)))))))))))*100+(IF(D40=$J$5,$L$5,IF(D40=$J$6,$K$6,IF(D40=$J$7,$L$7,IF(D40=$J$8,$L$8,IF(D40=$J$9,$L$9,IF(D40=$J$10,$L$10,IF(D40=$J$11,$L$11,IF(D40=$J$12,$L$12,IF(D40=$J$13,$L$13,IF(D40=$J$14,$L$14,0)))))))))))*10+(IF(E40=$J$5,$M$5,IF(E40=$J$6,$M$6,IF(E40=$J$7,$M$7,IF(E40=$J$8,$M$8,IF(E40=$J$9,$M$9,IF(E40=$J$10,$M$10,IF(E40=$J$11,$M$11,IF(E40=$J$12,$M$12,IF(E40=$J$13,$M$13,IF(E40=$J$14,$M$14,0))))))))))))*(IF(F40=$J$5,$N$5,IF(F40=$J$6,$N$6,IF(F40=$J$7,$N$7,IF(F40=$J$8,$N$8,IF(F40=$J$9,$N$9,IF(F40=$J$10,$N$10,IF(F40=$J$11,$N$11,IF(F40=$J$12,$N$12,IF(F40=$J$13,$N$13,IF(F40=$J$14,$N$14,IF(F40=$J$15,$N$15,IF(F40=$J$16,$N$16,1))))))))))))) * IF(ISBLANK(E40),0.1,1)</f>
        <v>9100</v>
      </c>
      <c r="C40" s="4" t="s">
        <v>61</v>
      </c>
      <c r="D40" s="4" t="s">
        <v>56</v>
      </c>
      <c r="E40" s="4"/>
      <c r="F40" s="4" t="s">
        <v>57</v>
      </c>
      <c r="G40" s="2" t="s">
        <v>62</v>
      </c>
      <c r="H40" s="60">
        <v>1</v>
      </c>
      <c r="J40" s="24"/>
      <c r="Q40"/>
    </row>
    <row r="41" spans="2:17" ht="17.399999999999999" customHeight="1" x14ac:dyDescent="0.3">
      <c r="B41" s="72">
        <f>((IF(C41=$J$5,$K$5,IF(C41=$J$6,$K$6,IF(C41=$J$7,$K$7,IF(C41=$J$8,$K$8,IF(C41=$J$9,$K$9,IF(C41=$J$10,$K$10,IF(C41=$J$11,$K$11,IF(C41=$J$12,$K$12,IF(C41=$J$13,$K$13,IF(C41=$J$14,$K$14,0)))))))))))*100+(IF(D41=$J$5,$L$5,IF(D41=$J$6,$K$6,IF(D41=$J$7,$L$7,IF(D41=$J$8,$L$8,IF(D41=$J$9,$L$9,IF(D41=$J$10,$L$10,IF(D41=$J$11,$L$11,IF(D41=$J$12,$L$12,IF(D41=$J$13,$L$13,IF(D41=$J$14,$L$14,0)))))))))))*10+(IF(E41=$J$5,$M$5,IF(E41=$J$6,$M$6,IF(E41=$J$7,$M$7,IF(E41=$J$8,$M$8,IF(E41=$J$9,$M$9,IF(E41=$J$10,$M$10,IF(E41=$J$11,$M$11,IF(E41=$J$12,$M$12,IF(E41=$J$13,$M$13,IF(E41=$J$14,$M$14,0))))))))))))*(IF(F41=$J$5,$N$5,IF(F41=$J$6,$N$6,IF(F41=$J$7,$N$7,IF(F41=$J$8,$N$8,IF(F41=$J$9,$N$9,IF(F41=$J$10,$N$10,IF(F41=$J$11,$N$11,IF(F41=$J$12,$N$12,IF(F41=$J$13,$N$13,IF(F41=$J$14,$N$14,IF(F41=$J$15,$N$15,IF(F41=$J$16,$N$16,1))))))))))))) * IF(ISBLANK(E41),0.1,1)</f>
        <v>9300</v>
      </c>
      <c r="C41" s="64" t="s">
        <v>61</v>
      </c>
      <c r="D41" s="64" t="s">
        <v>49</v>
      </c>
      <c r="E41" s="64"/>
      <c r="F41" s="64" t="s">
        <v>57</v>
      </c>
      <c r="G41" s="65" t="s">
        <v>57</v>
      </c>
      <c r="H41" s="60">
        <v>1</v>
      </c>
      <c r="J41" s="24"/>
      <c r="Q41"/>
    </row>
    <row r="42" spans="2:17" ht="17.399999999999999" customHeight="1" x14ac:dyDescent="0.3">
      <c r="B42" s="72">
        <f>((IF(C42=$J$5,$K$5,IF(C42=$J$6,$K$6,IF(C42=$J$7,$K$7,IF(C42=$J$8,$K$8,IF(C42=$J$9,$K$9,IF(C42=$J$10,$K$10,IF(C42=$J$11,$K$11,IF(C42=$J$12,$K$12,IF(C42=$J$13,$K$13,IF(C42=$J$14,$K$14,0)))))))))))*100+(IF(D42=$J$5,$L$5,IF(D42=$J$6,$K$6,IF(D42=$J$7,$L$7,IF(D42=$J$8,$L$8,IF(D42=$J$9,$L$9,IF(D42=$J$10,$L$10,IF(D42=$J$11,$L$11,IF(D42=$J$12,$L$12,IF(D42=$J$13,$L$13,IF(D42=$J$14,$L$14,0)))))))))))*10+(IF(E42=$J$5,$M$5,IF(E42=$J$6,$M$6,IF(E42=$J$7,$M$7,IF(E42=$J$8,$M$8,IF(E42=$J$9,$M$9,IF(E42=$J$10,$M$10,IF(E42=$J$11,$M$11,IF(E42=$J$12,$M$12,IF(E42=$J$13,$M$13,IF(E42=$J$14,$M$14,0))))))))))))*(IF(F42=$J$5,$N$5,IF(F42=$J$6,$N$6,IF(F42=$J$7,$N$7,IF(F42=$J$8,$N$8,IF(F42=$J$9,$N$9,IF(F42=$J$10,$N$10,IF(F42=$J$11,$N$11,IF(F42=$J$12,$N$12,IF(F42=$J$13,$N$13,IF(F42=$J$14,$N$14,IF(F42=$J$15,$N$15,IF(F42=$J$16,$N$16,1))))))))))))) * IF(ISBLANK(E42),0.1,1)</f>
        <v>10000</v>
      </c>
      <c r="C42" s="4" t="s">
        <v>56</v>
      </c>
      <c r="D42" s="4" t="s">
        <v>55</v>
      </c>
      <c r="E42" s="4"/>
      <c r="F42" s="4" t="s">
        <v>49</v>
      </c>
      <c r="G42" s="2" t="s">
        <v>62</v>
      </c>
      <c r="H42" s="60">
        <v>3</v>
      </c>
      <c r="J42" s="24"/>
      <c r="Q42"/>
    </row>
    <row r="43" spans="2:17" ht="17.399999999999999" customHeight="1" x14ac:dyDescent="0.3">
      <c r="B43" s="72">
        <f>((IF(C43=$J$5,$K$5,IF(C43=$J$6,$K$6,IF(C43=$J$7,$K$7,IF(C43=$J$8,$K$8,IF(C43=$J$9,$K$9,IF(C43=$J$10,$K$10,IF(C43=$J$11,$K$11,IF(C43=$J$12,$K$12,IF(C43=$J$13,$K$13,IF(C43=$J$14,$K$14,0)))))))))))*100+(IF(D43=$J$5,$L$5,IF(D43=$J$6,$K$6,IF(D43=$J$7,$L$7,IF(D43=$J$8,$L$8,IF(D43=$J$9,$L$9,IF(D43=$J$10,$L$10,IF(D43=$J$11,$L$11,IF(D43=$J$12,$L$12,IF(D43=$J$13,$L$13,IF(D43=$J$14,$L$14,0)))))))))))*10+(IF(E43=$J$5,$M$5,IF(E43=$J$6,$M$6,IF(E43=$J$7,$M$7,IF(E43=$J$8,$M$8,IF(E43=$J$9,$M$9,IF(E43=$J$10,$M$10,IF(E43=$J$11,$M$11,IF(E43=$J$12,$M$12,IF(E43=$J$13,$M$13,IF(E43=$J$14,$M$14,0))))))))))))*(IF(F43=$J$5,$N$5,IF(F43=$J$6,$N$6,IF(F43=$J$7,$N$7,IF(F43=$J$8,$N$8,IF(F43=$J$9,$N$9,IF(F43=$J$10,$N$10,IF(F43=$J$11,$N$11,IF(F43=$J$12,$N$12,IF(F43=$J$13,$N$13,IF(F43=$J$14,$N$14,IF(F43=$J$15,$N$15,IF(F43=$J$16,$N$16,1))))))))))))) * IF(ISBLANK(E43),0.1,1)</f>
        <v>12100</v>
      </c>
      <c r="C43" s="64" t="s">
        <v>56</v>
      </c>
      <c r="D43" s="64" t="s">
        <v>57</v>
      </c>
      <c r="E43" s="64" t="s">
        <v>56</v>
      </c>
      <c r="F43" s="64" t="s">
        <v>57</v>
      </c>
      <c r="G43" s="65" t="s">
        <v>56</v>
      </c>
      <c r="H43" s="3">
        <v>1</v>
      </c>
      <c r="J43" s="24"/>
      <c r="Q43"/>
    </row>
    <row r="44" spans="2:17" ht="17.399999999999999" customHeight="1" x14ac:dyDescent="0.3">
      <c r="B44" s="72">
        <f>((IF(C44=$J$5,$K$5,IF(C44=$J$6,$K$6,IF(C44=$J$7,$K$7,IF(C44=$J$8,$K$8,IF(C44=$J$9,$K$9,IF(C44=$J$10,$K$10,IF(C44=$J$11,$K$11,IF(C44=$J$12,$K$12,IF(C44=$J$13,$K$13,IF(C44=$J$14,$K$14,0)))))))))))*100+(IF(D44=$J$5,$L$5,IF(D44=$J$6,$K$6,IF(D44=$J$7,$L$7,IF(D44=$J$8,$L$8,IF(D44=$J$9,$L$9,IF(D44=$J$10,$L$10,IF(D44=$J$11,$L$11,IF(D44=$J$12,$L$12,IF(D44=$J$13,$L$13,IF(D44=$J$14,$L$14,0)))))))))))*10+(IF(E44=$J$5,$M$5,IF(E44=$J$6,$M$6,IF(E44=$J$7,$M$7,IF(E44=$J$8,$M$8,IF(E44=$J$9,$M$9,IF(E44=$J$10,$M$10,IF(E44=$J$11,$M$11,IF(E44=$J$12,$M$12,IF(E44=$J$13,$M$13,IF(E44=$J$14,$M$14,0))))))))))))*(IF(F44=$J$5,$N$5,IF(F44=$J$6,$N$6,IF(F44=$J$7,$N$7,IF(F44=$J$8,$N$8,IF(F44=$J$9,$N$9,IF(F44=$J$10,$N$10,IF(F44=$J$11,$N$11,IF(F44=$J$12,$N$12,IF(F44=$J$13,$N$13,IF(F44=$J$14,$N$14,IF(F44=$J$15,$N$15,IF(F44=$J$16,$N$16,1))))))))))))) * IF(ISBLANK(E44),0.1,1)</f>
        <v>12200</v>
      </c>
      <c r="C44" s="64" t="s">
        <v>56</v>
      </c>
      <c r="D44" s="64" t="s">
        <v>57</v>
      </c>
      <c r="E44" s="64" t="s">
        <v>57</v>
      </c>
      <c r="F44" s="64" t="s">
        <v>57</v>
      </c>
      <c r="G44" s="2" t="s">
        <v>58</v>
      </c>
      <c r="H44" s="3">
        <v>2</v>
      </c>
      <c r="J44" s="24"/>
      <c r="Q44"/>
    </row>
    <row r="45" spans="2:17" ht="17.399999999999999" customHeight="1" x14ac:dyDescent="0.3">
      <c r="B45" s="72">
        <f>((IF(C45=$J$5,$K$5,IF(C45=$J$6,$K$6,IF(C45=$J$7,$K$7,IF(C45=$J$8,$K$8,IF(C45=$J$9,$K$9,IF(C45=$J$10,$K$10,IF(C45=$J$11,$K$11,IF(C45=$J$12,$K$12,IF(C45=$J$13,$K$13,IF(C45=$J$14,$K$14,0)))))))))))*100+(IF(D45=$J$5,$L$5,IF(D45=$J$6,$K$6,IF(D45=$J$7,$L$7,IF(D45=$J$8,$L$8,IF(D45=$J$9,$L$9,IF(D45=$J$10,$L$10,IF(D45=$J$11,$L$11,IF(D45=$J$12,$L$12,IF(D45=$J$13,$L$13,IF(D45=$J$14,$L$14,0)))))))))))*10+(IF(E45=$J$5,$M$5,IF(E45=$J$6,$M$6,IF(E45=$J$7,$M$7,IF(E45=$J$8,$M$8,IF(E45=$J$9,$M$9,IF(E45=$J$10,$M$10,IF(E45=$J$11,$M$11,IF(E45=$J$12,$M$12,IF(E45=$J$13,$M$13,IF(E45=$J$14,$M$14,0))))))))))))*(IF(F45=$J$5,$N$5,IF(F45=$J$6,$N$6,IF(F45=$J$7,$N$7,IF(F45=$J$8,$N$8,IF(F45=$J$9,$N$9,IF(F45=$J$10,$N$10,IF(F45=$J$11,$N$11,IF(F45=$J$12,$N$12,IF(F45=$J$13,$N$13,IF(F45=$J$14,$N$14,IF(F45=$J$15,$N$15,IF(F45=$J$16,$N$16,1))))))))))))) * IF(ISBLANK(E45),0.1,1)</f>
        <v>15000</v>
      </c>
      <c r="C45" s="4" t="s">
        <v>56</v>
      </c>
      <c r="D45" s="4" t="s">
        <v>48</v>
      </c>
      <c r="E45" s="4"/>
      <c r="F45" s="4" t="s">
        <v>49</v>
      </c>
      <c r="G45" s="2" t="s">
        <v>62</v>
      </c>
      <c r="H45" s="60">
        <v>4</v>
      </c>
      <c r="J45" s="24"/>
      <c r="Q45"/>
    </row>
    <row r="46" spans="2:17" ht="17.399999999999999" customHeight="1" x14ac:dyDescent="0.3">
      <c r="B46" s="72">
        <f>((IF(C46=$J$5,$K$5,IF(C46=$J$6,$K$6,IF(C46=$J$7,$K$7,IF(C46=$J$8,$K$8,IF(C46=$J$9,$K$9,IF(C46=$J$10,$K$10,IF(C46=$J$11,$K$11,IF(C46=$J$12,$K$12,IF(C46=$J$13,$K$13,IF(C46=$J$14,$K$14,0)))))))))))*100+(IF(D46=$J$5,$L$5,IF(D46=$J$6,$K$6,IF(D46=$J$7,$L$7,IF(D46=$J$8,$L$8,IF(D46=$J$9,$L$9,IF(D46=$J$10,$L$10,IF(D46=$J$11,$L$11,IF(D46=$J$12,$L$12,IF(D46=$J$13,$L$13,IF(D46=$J$14,$L$14,0)))))))))))*10+(IF(E46=$J$5,$M$5,IF(E46=$J$6,$M$6,IF(E46=$J$7,$M$7,IF(E46=$J$8,$M$8,IF(E46=$J$9,$M$9,IF(E46=$J$10,$M$10,IF(E46=$J$11,$M$11,IF(E46=$J$12,$M$12,IF(E46=$J$13,$M$13,IF(E46=$J$14,$M$14,0))))))))))))*(IF(F46=$J$5,$N$5,IF(F46=$J$6,$N$6,IF(F46=$J$7,$N$7,IF(F46=$J$8,$N$8,IF(F46=$J$9,$N$9,IF(F46=$J$10,$N$10,IF(F46=$J$11,$N$11,IF(F46=$J$12,$N$12,IF(F46=$J$13,$N$13,IF(F46=$J$14,$N$14,IF(F46=$J$15,$N$15,IF(F46=$J$16,$N$16,1))))))))))))) * IF(ISBLANK(E46),0.1,1)</f>
        <v>22000</v>
      </c>
      <c r="C46" s="4" t="s">
        <v>57</v>
      </c>
      <c r="D46" s="4" t="s">
        <v>57</v>
      </c>
      <c r="E46" s="4"/>
      <c r="F46" s="2" t="s">
        <v>49</v>
      </c>
      <c r="G46" s="2" t="s">
        <v>62</v>
      </c>
      <c r="H46" s="60">
        <v>4</v>
      </c>
      <c r="J46" s="24"/>
      <c r="Q46"/>
    </row>
    <row r="47" spans="2:17" ht="17.399999999999999" customHeight="1" x14ac:dyDescent="0.3">
      <c r="B47" s="72">
        <f>((IF(C47=$J$5,$K$5,IF(C47=$J$6,$K$6,IF(C47=$J$7,$K$7,IF(C47=$J$8,$K$8,IF(C47=$J$9,$K$9,IF(C47=$J$10,$K$10,IF(C47=$J$11,$K$11,IF(C47=$J$12,$K$12,IF(C47=$J$13,$K$13,IF(C47=$J$14,$K$14,0)))))))))))*100+(IF(D47=$J$5,$L$5,IF(D47=$J$6,$K$6,IF(D47=$J$7,$L$7,IF(D47=$J$8,$L$8,IF(D47=$J$9,$L$9,IF(D47=$J$10,$L$10,IF(D47=$J$11,$L$11,IF(D47=$J$12,$L$12,IF(D47=$J$13,$L$13,IF(D47=$J$14,$L$14,0)))))))))))*10+(IF(E47=$J$5,$M$5,IF(E47=$J$6,$M$6,IF(E47=$J$7,$M$7,IF(E47=$J$8,$M$8,IF(E47=$J$9,$M$9,IF(E47=$J$10,$M$10,IF(E47=$J$11,$M$11,IF(E47=$J$12,$M$12,IF(E47=$J$13,$M$13,IF(E47=$J$14,$M$14,0))))))))))))*(IF(F47=$J$5,$N$5,IF(F47=$J$6,$N$6,IF(F47=$J$7,$N$7,IF(F47=$J$8,$N$8,IF(F47=$J$9,$N$9,IF(F47=$J$10,$N$10,IF(F47=$J$11,$N$11,IF(F47=$J$12,$N$12,IF(F47=$J$13,$N$13,IF(F47=$J$14,$N$14,IF(F47=$J$15,$N$15,IF(F47=$J$16,$N$16,1))))))))))))) * IF(ISBLANK(E47),0.1,1)</f>
        <v>27000</v>
      </c>
      <c r="C47" s="4" t="s">
        <v>57</v>
      </c>
      <c r="D47" s="4" t="s">
        <v>59</v>
      </c>
      <c r="E47" s="4"/>
      <c r="F47" s="4" t="s">
        <v>49</v>
      </c>
      <c r="G47" s="4" t="s">
        <v>62</v>
      </c>
      <c r="H47" s="60">
        <v>6</v>
      </c>
      <c r="J47" s="24"/>
      <c r="Q47"/>
    </row>
    <row r="48" spans="2:17" ht="17.399999999999999" customHeight="1" x14ac:dyDescent="0.3">
      <c r="B48" s="72">
        <f>((IF(C48=$J$5,$K$5,IF(C48=$J$6,$K$6,IF(C48=$J$7,$K$7,IF(C48=$J$8,$K$8,IF(C48=$J$9,$K$9,IF(C48=$J$10,$K$10,IF(C48=$J$11,$K$11,IF(C48=$J$12,$K$12,IF(C48=$J$13,$K$13,IF(C48=$J$14,$K$14,0)))))))))))*100+(IF(D48=$J$5,$L$5,IF(D48=$J$6,$K$6,IF(D48=$J$7,$L$7,IF(D48=$J$8,$L$8,IF(D48=$J$9,$L$9,IF(D48=$J$10,$L$10,IF(D48=$J$11,$L$11,IF(D48=$J$12,$L$12,IF(D48=$J$13,$L$13,IF(D48=$J$14,$L$14,0)))))))))))*10+(IF(E48=$J$5,$M$5,IF(E48=$J$6,$M$6,IF(E48=$J$7,$M$7,IF(E48=$J$8,$M$8,IF(E48=$J$9,$M$9,IF(E48=$J$10,$M$10,IF(E48=$J$11,$M$11,IF(E48=$J$12,$M$12,IF(E48=$J$13,$M$13,IF(E48=$J$14,$M$14,0))))))))))))*(IF(F48=$J$5,$N$5,IF(F48=$J$6,$N$6,IF(F48=$J$7,$N$7,IF(F48=$J$8,$N$8,IF(F48=$J$9,$N$9,IF(F48=$J$10,$N$10,IF(F48=$J$11,$N$11,IF(F48=$J$12,$N$12,IF(F48=$J$13,$N$13,IF(F48=$J$14,$N$14,IF(F48=$J$15,$N$15,IF(F48=$J$16,$N$16,1))))))))))))) * IF(ISBLANK(E48),0.1,1)</f>
        <v>39000</v>
      </c>
      <c r="C48" s="4" t="s">
        <v>49</v>
      </c>
      <c r="D48" s="4" t="s">
        <v>61</v>
      </c>
      <c r="E48" s="4"/>
      <c r="F48" s="4" t="s">
        <v>49</v>
      </c>
      <c r="G48" s="2" t="s">
        <v>62</v>
      </c>
      <c r="H48" s="3">
        <v>10</v>
      </c>
      <c r="J48" s="24"/>
      <c r="Q48"/>
    </row>
    <row r="49" spans="1:17" ht="17.399999999999999" customHeight="1" x14ac:dyDescent="0.3">
      <c r="B49" s="72">
        <f>((IF(C49=$J$5,$K$5,IF(C49=$J$6,$K$6,IF(C49=$J$7,$K$7,IF(C49=$J$8,$K$8,IF(C49=$J$9,$K$9,IF(C49=$J$10,$K$10,IF(C49=$J$11,$K$11,IF(C49=$J$12,$K$12,IF(C49=$J$13,$K$13,IF(C49=$J$14,$K$14,0)))))))))))*100+(IF(D49=$J$5,$L$5,IF(D49=$J$6,$K$6,IF(D49=$J$7,$L$7,IF(D49=$J$8,$L$8,IF(D49=$J$9,$L$9,IF(D49=$J$10,$L$10,IF(D49=$J$11,$L$11,IF(D49=$J$12,$L$12,IF(D49=$J$13,$L$13,IF(D49=$J$14,$L$14,0)))))))))))*10+(IF(E49=$J$5,$M$5,IF(E49=$J$6,$M$6,IF(E49=$J$7,$M$7,IF(E49=$J$8,$M$8,IF(E49=$J$9,$M$9,IF(E49=$J$10,$M$10,IF(E49=$J$11,$M$11,IF(E49=$J$12,$M$12,IF(E49=$J$13,$M$13,IF(E49=$J$14,$M$14,0))))))))))))*(IF(F49=$J$5,$N$5,IF(F49=$J$6,$N$6,IF(F49=$J$7,$N$7,IF(F49=$J$8,$N$8,IF(F49=$J$9,$N$9,IF(F49=$J$10,$N$10,IF(F49=$J$11,$N$11,IF(F49=$J$12,$N$12,IF(F49=$J$13,$N$13,IF(F49=$J$14,$N$14,IF(F49=$J$15,$N$15,IF(F49=$J$16,$N$16,1))))))))))))) * IF(ISBLANK(E49),0.1,1)</f>
        <v>131000</v>
      </c>
      <c r="C49" s="65" t="s">
        <v>56</v>
      </c>
      <c r="D49" s="65" t="s">
        <v>49</v>
      </c>
      <c r="E49" s="65" t="s">
        <v>56</v>
      </c>
      <c r="F49" s="65" t="s">
        <v>49</v>
      </c>
      <c r="G49" s="2" t="s">
        <v>56</v>
      </c>
      <c r="H49" s="3">
        <v>12</v>
      </c>
      <c r="J49" s="24"/>
      <c r="Q49"/>
    </row>
    <row r="50" spans="1:17" ht="17.399999999999999" customHeight="1" x14ac:dyDescent="0.3">
      <c r="A50" s="63"/>
      <c r="B50" s="74">
        <f>((IF(C50=$J$5,$K$5,IF(C50=$J$6,$K$6,IF(C50=$J$7,$K$7,IF(C50=$J$8,$K$8,IF(C50=$J$9,$K$9,IF(C50=$J$10,$K$10,IF(C50=$J$11,$K$11,IF(C50=$J$12,$K$12,IF(C50=$J$13,$K$13,IF(C50=$J$14,$K$14,0)))))))))))*100+(IF(D50=$J$5,$L$5,IF(D50=$J$6,$K$6,IF(D50=$J$7,$L$7,IF(D50=$J$8,$L$8,IF(D50=$J$9,$L$9,IF(D50=$J$10,$L$10,IF(D50=$J$11,$L$11,IF(D50=$J$12,$L$12,IF(D50=$J$13,$L$13,IF(D50=$J$14,$L$14,0)))))))))))*10+(IF(E50=$J$5,$M$5,IF(E50=$J$6,$M$6,IF(E50=$J$7,$M$7,IF(E50=$J$8,$M$8,IF(E50=$J$9,$M$9,IF(E50=$J$10,$M$10,IF(E50=$J$11,$M$11,IF(E50=$J$12,$M$12,IF(E50=$J$13,$M$13,IF(E50=$J$14,$M$14,0))))))))))))*(IF(F50=$J$5,$N$5,IF(F50=$J$6,$N$6,IF(F50=$J$7,$N$7,IF(F50=$J$8,$N$8,IF(F50=$J$9,$N$9,IF(F50=$J$10,$N$10,IF(F50=$J$11,$N$11,IF(F50=$J$12,$N$12,IF(F50=$J$13,$N$13,IF(F50=$J$14,$N$14,IF(F50=$J$15,$N$15,IF(F50=$J$16,$N$16,1))))))))))))) * IF(ISBLANK(E50),0.1,1)</f>
        <v>220000</v>
      </c>
      <c r="C50" s="4" t="s">
        <v>57</v>
      </c>
      <c r="D50" s="4" t="s">
        <v>57</v>
      </c>
      <c r="E50" s="4"/>
      <c r="F50" s="4" t="s">
        <v>58</v>
      </c>
      <c r="G50" s="4" t="s">
        <v>62</v>
      </c>
      <c r="H50" s="60">
        <v>9</v>
      </c>
      <c r="J50" s="24"/>
      <c r="Q50"/>
    </row>
    <row r="51" spans="1:17" ht="17.399999999999999" customHeight="1" x14ac:dyDescent="0.3">
      <c r="A51" s="63"/>
      <c r="B51" s="74">
        <f>((IF(C51=$J$5,$K$5,IF(C51=$J$6,$K$6,IF(C51=$J$7,$K$7,IF(C51=$J$8,$K$8,IF(C51=$J$9,$K$9,IF(C51=$J$10,$K$10,IF(C51=$J$11,$K$11,IF(C51=$J$12,$K$12,IF(C51=$J$13,$K$13,IF(C51=$J$14,$K$14,0)))))))))))*100+(IF(D51=$J$5,$L$5,IF(D51=$J$6,$K$6,IF(D51=$J$7,$L$7,IF(D51=$J$8,$L$8,IF(D51=$J$9,$L$9,IF(D51=$J$10,$L$10,IF(D51=$J$11,$L$11,IF(D51=$J$12,$L$12,IF(D51=$J$13,$L$13,IF(D51=$J$14,$L$14,0)))))))))))*10+(IF(E51=$J$5,$M$5,IF(E51=$J$6,$M$6,IF(E51=$J$7,$M$7,IF(E51=$J$8,$M$8,IF(E51=$J$9,$M$9,IF(E51=$J$10,$M$10,IF(E51=$J$11,$M$11,IF(E51=$J$12,$M$12,IF(E51=$J$13,$M$13,IF(E51=$J$14,$M$14,0))))))))))))*(IF(F51=$J$5,$N$5,IF(F51=$J$6,$N$6,IF(F51=$J$7,$N$7,IF(F51=$J$8,$N$8,IF(F51=$J$9,$N$9,IF(F51=$J$10,$N$10,IF(F51=$J$11,$N$11,IF(F51=$J$12,$N$12,IF(F51=$J$13,$N$13,IF(F51=$J$14,$N$14,IF(F51=$J$15,$N$15,IF(F51=$J$16,$N$16,1))))))))))))) * IF(ISBLANK(E51),0.1,1)</f>
        <v>230000</v>
      </c>
      <c r="C51" s="4" t="s">
        <v>57</v>
      </c>
      <c r="D51" s="4" t="s">
        <v>49</v>
      </c>
      <c r="E51" s="4"/>
      <c r="F51" s="4" t="s">
        <v>58</v>
      </c>
      <c r="G51" s="4" t="s">
        <v>62</v>
      </c>
      <c r="H51" s="60">
        <v>1</v>
      </c>
      <c r="J51" s="24"/>
      <c r="Q51"/>
    </row>
    <row r="52" spans="1:17" ht="17.399999999999999" customHeight="1" x14ac:dyDescent="0.3">
      <c r="B52" s="72">
        <f>((IF(C52=$J$5,$K$5,IF(C52=$J$6,$K$6,IF(C52=$J$7,$K$7,IF(C52=$J$8,$K$8,IF(C52=$J$9,$K$9,IF(C52=$J$10,$K$10,IF(C52=$J$11,$K$11,IF(C52=$J$12,$K$12,IF(C52=$J$13,$K$13,IF(C52=$J$14,$K$14,0)))))))))))*100+(IF(D52=$J$5,$L$5,IF(D52=$J$6,$K$6,IF(D52=$J$7,$L$7,IF(D52=$J$8,$L$8,IF(D52=$J$9,$L$9,IF(D52=$J$10,$L$10,IF(D52=$J$11,$L$11,IF(D52=$J$12,$L$12,IF(D52=$J$13,$L$13,IF(D52=$J$14,$L$14,0)))))))))))*10+(IF(E52=$J$5,$M$5,IF(E52=$J$6,$M$6,IF(E52=$J$7,$M$7,IF(E52=$J$8,$M$8,IF(E52=$J$9,$M$9,IF(E52=$J$10,$M$10,IF(E52=$J$11,$M$11,IF(E52=$J$12,$M$12,IF(E52=$J$13,$M$13,IF(E52=$J$14,$M$14,0))))))))))))*(IF(F52=$J$5,$N$5,IF(F52=$J$6,$N$6,IF(F52=$J$7,$N$7,IF(F52=$J$8,$N$8,IF(F52=$J$9,$N$9,IF(F52=$J$10,$N$10,IF(F52=$J$11,$N$11,IF(F52=$J$12,$N$12,IF(F52=$J$13,$N$13,IF(F52=$J$14,$N$14,IF(F52=$J$15,$N$15,IF(F52=$J$16,$N$16,1))))))))))))) * IF(ISBLANK(E52),0.1,1)</f>
        <v>560000</v>
      </c>
      <c r="C52" s="4" t="s">
        <v>48</v>
      </c>
      <c r="D52" s="4" t="s">
        <v>5</v>
      </c>
      <c r="E52" s="4"/>
      <c r="F52" s="4" t="s">
        <v>58</v>
      </c>
      <c r="G52" s="4" t="s">
        <v>62</v>
      </c>
      <c r="H52" s="3">
        <v>2</v>
      </c>
      <c r="J52" s="24"/>
      <c r="Q52"/>
    </row>
    <row r="53" spans="1:17" ht="17.399999999999999" customHeight="1" x14ac:dyDescent="0.3">
      <c r="B53" s="72">
        <f>((IF(C53=$J$5,$K$5,IF(C53=$J$6,$K$6,IF(C53=$J$7,$K$7,IF(C53=$J$8,$K$8,IF(C53=$J$9,$K$9,IF(C53=$J$10,$K$10,IF(C53=$J$11,$K$11,IF(C53=$J$12,$K$12,IF(C53=$J$13,$K$13,IF(C53=$J$14,$K$14,0)))))))))))*100+(IF(D53=$J$5,$L$5,IF(D53=$J$6,$K$6,IF(D53=$J$7,$L$7,IF(D53=$J$8,$L$8,IF(D53=$J$9,$L$9,IF(D53=$J$10,$L$10,IF(D53=$J$11,$L$11,IF(D53=$J$12,$L$12,IF(D53=$J$13,$L$13,IF(D53=$J$14,$L$14,0)))))))))))*10+(IF(E53=$J$5,$M$5,IF(E53=$J$6,$M$6,IF(E53=$J$7,$M$7,IF(E53=$J$8,$M$8,IF(E53=$J$9,$M$9,IF(E53=$J$10,$M$10,IF(E53=$J$11,$M$11,IF(E53=$J$12,$M$12,IF(E53=$J$13,$M$13,IF(E53=$J$14,$M$14,0))))))))))))*(IF(F53=$J$5,$N$5,IF(F53=$J$6,$N$6,IF(F53=$J$7,$N$7,IF(F53=$J$8,$N$8,IF(F53=$J$9,$N$9,IF(F53=$J$10,$N$10,IF(F53=$J$11,$N$11,IF(F53=$J$12,$N$12,IF(F53=$J$13,$N$13,IF(F53=$J$14,$N$14,IF(F53=$J$15,$N$15,IF(F53=$J$16,$N$16,1))))))))))))) * IF(ISBLANK(E53),0.1,1)</f>
        <v>931000</v>
      </c>
      <c r="C53" s="64" t="s">
        <v>61</v>
      </c>
      <c r="D53" s="64" t="s">
        <v>49</v>
      </c>
      <c r="E53" s="64" t="s">
        <v>56</v>
      </c>
      <c r="F53" s="64" t="s">
        <v>49</v>
      </c>
      <c r="G53" s="4" t="s">
        <v>56</v>
      </c>
      <c r="H53" s="3">
        <v>1</v>
      </c>
      <c r="J53" s="24"/>
      <c r="Q53"/>
    </row>
    <row r="54" spans="1:17" ht="17.399999999999999" customHeight="1" x14ac:dyDescent="0.3">
      <c r="B54" s="72">
        <f>((IF(C54=$J$5,$K$5,IF(C54=$J$6,$K$6,IF(C54=$J$7,$K$7,IF(C54=$J$8,$K$8,IF(C54=$J$9,$K$9,IF(C54=$J$10,$K$10,IF(C54=$J$11,$K$11,IF(C54=$J$12,$K$12,IF(C54=$J$13,$K$13,IF(C54=$J$14,$K$14,0)))))))))))*100+(IF(D54=$J$5,$L$5,IF(D54=$J$6,$K$6,IF(D54=$J$7,$L$7,IF(D54=$J$8,$L$8,IF(D54=$J$9,$L$9,IF(D54=$J$10,$L$10,IF(D54=$J$11,$L$11,IF(D54=$J$12,$L$12,IF(D54=$J$13,$L$13,IF(D54=$J$14,$L$14,0)))))))))))*10+(IF(E54=$J$5,$M$5,IF(E54=$J$6,$M$6,IF(E54=$J$7,$M$7,IF(E54=$J$8,$M$8,IF(E54=$J$9,$M$9,IF(E54=$J$10,$M$10,IF(E54=$J$11,$M$11,IF(E54=$J$12,$M$12,IF(E54=$J$13,$M$13,IF(E54=$J$14,$M$14,0))))))))))))*(IF(F54=$J$5,$N$5,IF(F54=$J$6,$N$6,IF(F54=$J$7,$N$7,IF(F54=$J$8,$N$8,IF(F54=$J$9,$N$9,IF(F54=$J$10,$N$10,IF(F54=$J$11,$N$11,IF(F54=$J$12,$N$12,IF(F54=$J$13,$N$13,IF(F54=$J$14,$N$14,IF(F54=$J$15,$N$15,IF(F54=$J$16,$N$16,1))))))))))))) * IF(ISBLANK(E54),0.1,1)</f>
        <v>1190000</v>
      </c>
      <c r="C54" s="64" t="s">
        <v>56</v>
      </c>
      <c r="D54" s="64" t="s">
        <v>56</v>
      </c>
      <c r="E54" s="64" t="s">
        <v>61</v>
      </c>
      <c r="F54" s="64" t="s">
        <v>58</v>
      </c>
      <c r="G54" s="4" t="s">
        <v>57</v>
      </c>
      <c r="H54" s="60">
        <v>5</v>
      </c>
      <c r="J54" s="24"/>
      <c r="Q54"/>
    </row>
    <row r="55" spans="1:17" ht="17.399999999999999" customHeight="1" x14ac:dyDescent="0.3">
      <c r="B55" s="72">
        <f>((IF(C55=$J$5,$K$5,IF(C55=$J$6,$K$6,IF(C55=$J$7,$K$7,IF(C55=$J$8,$K$8,IF(C55=$J$9,$K$9,IF(C55=$J$10,$K$10,IF(C55=$J$11,$K$11,IF(C55=$J$12,$K$12,IF(C55=$J$13,$K$13,IF(C55=$J$14,$K$14,0)))))))))))*100+(IF(D55=$J$5,$L$5,IF(D55=$J$6,$K$6,IF(D55=$J$7,$L$7,IF(D55=$J$8,$L$8,IF(D55=$J$9,$L$9,IF(D55=$J$10,$L$10,IF(D55=$J$11,$L$11,IF(D55=$J$12,$L$12,IF(D55=$J$13,$L$13,IF(D55=$J$14,$L$14,0)))))))))))*10+(IF(E55=$J$5,$M$5,IF(E55=$J$6,$M$6,IF(E55=$J$7,$M$7,IF(E55=$J$8,$M$8,IF(E55=$J$9,$M$9,IF(E55=$J$10,$M$10,IF(E55=$J$11,$M$11,IF(E55=$J$12,$M$12,IF(E55=$J$13,$M$13,IF(E55=$J$14,$M$14,0))))))))))))*(IF(F55=$J$5,$N$5,IF(F55=$J$6,$N$6,IF(F55=$J$7,$N$7,IF(F55=$J$8,$N$8,IF(F55=$J$9,$N$9,IF(F55=$J$10,$N$10,IF(F55=$J$11,$N$11,IF(F55=$J$12,$N$12,IF(F55=$J$13,$N$13,IF(F55=$J$14,$N$14,IF(F55=$J$15,$N$15,IF(F55=$J$16,$N$16,1))))))))))))) * IF(ISBLANK(E55),0.1,1)</f>
        <v>10000000</v>
      </c>
      <c r="C55" s="64" t="s">
        <v>56</v>
      </c>
      <c r="D55" s="64" t="s">
        <v>55</v>
      </c>
      <c r="E55" s="64"/>
      <c r="F55" s="64" t="s">
        <v>5</v>
      </c>
      <c r="G55" s="64" t="s">
        <v>58</v>
      </c>
      <c r="H55" s="60">
        <v>3</v>
      </c>
      <c r="J55" s="24"/>
      <c r="Q55"/>
    </row>
    <row r="56" spans="1:17" ht="17.399999999999999" customHeight="1" x14ac:dyDescent="0.3">
      <c r="B56" s="72">
        <f>((IF(C56=$J$5,$K$5,IF(C56=$J$6,$K$6,IF(C56=$J$7,$K$7,IF(C56=$J$8,$K$8,IF(C56=$J$9,$K$9,IF(C56=$J$10,$K$10,IF(C56=$J$11,$K$11,IF(C56=$J$12,$K$12,IF(C56=$J$13,$K$13,IF(C56=$J$14,$K$14,0)))))))))))*100+(IF(D56=$J$5,$L$5,IF(D56=$J$6,$K$6,IF(D56=$J$7,$L$7,IF(D56=$J$8,$L$8,IF(D56=$J$9,$L$9,IF(D56=$J$10,$L$10,IF(D56=$J$11,$L$11,IF(D56=$J$12,$L$12,IF(D56=$J$13,$L$13,IF(D56=$J$14,$L$14,0)))))))))))*10+(IF(E56=$J$5,$M$5,IF(E56=$J$6,$M$6,IF(E56=$J$7,$M$7,IF(E56=$J$8,$M$8,IF(E56=$J$9,$M$9,IF(E56=$J$10,$M$10,IF(E56=$J$11,$M$11,IF(E56=$J$12,$M$12,IF(E56=$J$13,$M$13,IF(E56=$J$14,$M$14,0))))))))))))*(IF(F56=$J$5,$N$5,IF(F56=$J$6,$N$6,IF(F56=$J$7,$N$7,IF(F56=$J$8,$N$8,IF(F56=$J$9,$N$9,IF(F56=$J$10,$N$10,IF(F56=$J$11,$N$11,IF(F56=$J$12,$N$12,IF(F56=$J$13,$N$13,IF(F56=$J$14,$N$14,IF(F56=$J$15,$N$15,IF(F56=$J$16,$N$16,1))))))))))))) * IF(ISBLANK(E56),0.1,1)</f>
        <v>33000000</v>
      </c>
      <c r="C56" s="64" t="s">
        <v>49</v>
      </c>
      <c r="D56" s="64" t="s">
        <v>49</v>
      </c>
      <c r="E56" s="64"/>
      <c r="F56" s="64" t="s">
        <v>5</v>
      </c>
      <c r="G56" s="4" t="s">
        <v>58</v>
      </c>
      <c r="H56" s="60">
        <v>2</v>
      </c>
      <c r="J56" s="24"/>
      <c r="Q56"/>
    </row>
    <row r="57" spans="1:17" ht="17.399999999999999" customHeight="1" x14ac:dyDescent="0.3">
      <c r="J57" s="24"/>
      <c r="Q57"/>
    </row>
    <row r="58" spans="1:17" ht="17.399999999999999" customHeight="1" x14ac:dyDescent="0.3">
      <c r="B58" s="72">
        <f>((IF(C58=$J$5,$K$5,IF(C58=$J$6,$K$6,IF(C58=$J$7,$K$7,IF(C58=$J$8,$K$8,IF(C58=$J$9,$K$9,IF(C58=$J$10,$K$10,IF(C58=$J$11,$K$11,IF(C58=$J$12,$K$12,IF(C58=$J$13,$K$13,IF(C58=$J$14,$K$14,0)))))))))))*100+(IF(D58=$J$5,$L$5,IF(D58=$J$6,$K$6,IF(D58=$J$7,$L$7,IF(D58=$J$8,$L$8,IF(D58=$J$9,$L$9,IF(D58=$J$10,$L$10,IF(D58=$J$11,$L$11,IF(D58=$J$12,$L$12,IF(D58=$J$13,$L$13,IF(D58=$J$14,$L$14,0)))))))))))*10+(IF(E58=$J$5,$M$5,IF(E58=$J$6,$M$6,IF(E58=$J$7,$M$7,IF(E58=$J$8,$M$8,IF(E58=$J$9,$M$9,IF(E58=$J$10,$M$10,IF(E58=$J$11,$M$11,IF(E58=$J$12,$M$12,IF(E58=$J$13,$M$13,IF(E58=$J$14,$M$14,0))))))))))))*(IF(F58=$J$5,$N$5,IF(F58=$J$6,$N$6,IF(F58=$J$7,$N$7,IF(F58=$J$8,$N$8,IF(F58=$J$9,$N$9,IF(F58=$J$10,$N$10,IF(F58=$J$11,$N$11,IF(F58=$J$12,$N$12,IF(F58=$J$13,$N$13,IF(F58=$J$14,$N$14,IF(F58=$J$15,$N$15,IF(F58=$J$16,$N$16,1))))))))))))) * IF(ISBLANK(E58),0.1,1)</f>
        <v>0</v>
      </c>
      <c r="C58" s="64"/>
      <c r="D58" s="64"/>
      <c r="E58" s="64"/>
      <c r="F58" s="64"/>
      <c r="G58" s="64"/>
      <c r="H58" s="3">
        <v>0</v>
      </c>
      <c r="J58" s="24"/>
      <c r="Q58"/>
    </row>
    <row r="59" spans="1:17" ht="17.399999999999999" customHeight="1" x14ac:dyDescent="0.3">
      <c r="B59" s="72">
        <f>((IF(C59=$J$5,$K$5,IF(C59=$J$6,$K$6,IF(C59=$J$7,$K$7,IF(C59=$J$8,$K$8,IF(C59=$J$9,$K$9,IF(C59=$J$10,$K$10,IF(C59=$J$11,$K$11,IF(C59=$J$12,$K$12,IF(C59=$J$13,$K$13,IF(C59=$J$14,$K$14,0)))))))))))*100+(IF(D59=$J$5,$L$5,IF(D59=$J$6,$K$6,IF(D59=$J$7,$L$7,IF(D59=$J$8,$L$8,IF(D59=$J$9,$L$9,IF(D59=$J$10,$L$10,IF(D59=$J$11,$L$11,IF(D59=$J$12,$L$12,IF(D59=$J$13,$L$13,IF(D59=$J$14,$L$14,0)))))))))))*10+(IF(E59=$J$5,$M$5,IF(E59=$J$6,$M$6,IF(E59=$J$7,$M$7,IF(E59=$J$8,$M$8,IF(E59=$J$9,$M$9,IF(E59=$J$10,$M$10,IF(E59=$J$11,$M$11,IF(E59=$J$12,$M$12,IF(E59=$J$13,$M$13,IF(E59=$J$14,$M$14,0))))))))))))*(IF(F59=$J$5,$N$5,IF(F59=$J$6,$N$6,IF(F59=$J$7,$N$7,IF(F59=$J$8,$N$8,IF(F59=$J$9,$N$9,IF(F59=$J$10,$N$10,IF(F59=$J$11,$N$11,IF(F59=$J$12,$N$12,IF(F59=$J$13,$N$13,IF(F59=$J$14,$N$14,IF(F59=$J$15,$N$15,IF(F59=$J$16,$N$16,1))))))))))))) * IF(ISBLANK(E59),0.1,1)</f>
        <v>0</v>
      </c>
      <c r="C59" s="64"/>
      <c r="D59" s="64"/>
      <c r="E59" s="64"/>
      <c r="F59" s="64"/>
      <c r="G59" s="64"/>
      <c r="H59" s="3">
        <v>0</v>
      </c>
      <c r="J59" s="24"/>
      <c r="Q59"/>
    </row>
    <row r="60" spans="1:17" ht="17.399999999999999" customHeight="1" x14ac:dyDescent="0.3">
      <c r="B60"/>
      <c r="C60"/>
      <c r="D60"/>
      <c r="E60"/>
      <c r="F60"/>
      <c r="G60"/>
      <c r="H60"/>
      <c r="J60" s="24"/>
      <c r="Q60"/>
    </row>
    <row r="61" spans="1:17" x14ac:dyDescent="0.3">
      <c r="Q61"/>
    </row>
  </sheetData>
  <phoneticPr fontId="11" type="noConversion"/>
  <conditionalFormatting sqref="C5:G56">
    <cfRule type="containsText" dxfId="15" priority="1" operator="containsText" text="Prateado">
      <formula>NOT(ISERROR(SEARCH("Prateado",C5)))</formula>
    </cfRule>
    <cfRule type="containsText" dxfId="14" priority="2" operator="containsText" text="Dourado">
      <formula>NOT(ISERROR(SEARCH("Dourado",C5)))</formula>
    </cfRule>
    <cfRule type="containsText" dxfId="13" priority="3" operator="containsText" text="Branco">
      <formula>NOT(ISERROR(SEARCH("Branco",C5)))</formula>
    </cfRule>
    <cfRule type="containsText" dxfId="12" priority="4" operator="containsText" text="Cinza">
      <formula>NOT(ISERROR(SEARCH("Cinza",C5)))</formula>
    </cfRule>
    <cfRule type="containsText" dxfId="11" priority="5" operator="containsText" text="Violeta">
      <formula>NOT(ISERROR(SEARCH("Violeta",C5)))</formula>
    </cfRule>
    <cfRule type="containsText" dxfId="10" priority="6" operator="containsText" text="Azul">
      <formula>NOT(ISERROR(SEARCH("Azul",C5)))</formula>
    </cfRule>
    <cfRule type="containsText" dxfId="9" priority="7" operator="containsText" text="Verde">
      <formula>NOT(ISERROR(SEARCH("Verde",C5)))</formula>
    </cfRule>
    <cfRule type="containsText" dxfId="8" priority="8" operator="containsText" text="Amarelo">
      <formula>NOT(ISERROR(SEARCH("Amarelo",C5)))</formula>
    </cfRule>
    <cfRule type="containsText" dxfId="7" priority="9" operator="containsText" text="Laranja">
      <formula>NOT(ISERROR(SEARCH("Laranja",C5)))</formula>
    </cfRule>
    <cfRule type="containsText" dxfId="6" priority="10" operator="containsText" text="Vermelho">
      <formula>NOT(ISERROR(SEARCH("Vermelho",C5)))</formula>
    </cfRule>
    <cfRule type="containsText" dxfId="5" priority="11" operator="containsText" text="Marrom">
      <formula>NOT(ISERROR(SEARCH("Marrom",C5)))</formula>
    </cfRule>
    <cfRule type="containsText" dxfId="4" priority="12" operator="containsText" text="Preto">
      <formula>NOT(ISERROR(SEARCH("Preto",C5)))</formula>
    </cfRule>
  </conditionalFormatting>
  <dataValidations count="1">
    <dataValidation type="list" allowBlank="1" showInputMessage="1" showErrorMessage="1" sqref="C5:G56" xr:uid="{54D48D34-989C-4B97-AAF6-1F7A78E26277}">
      <formula1>$J$5:$J$16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CCE3B-9FDD-4BB7-8489-26A075557E5F}">
  <sheetPr codeName="Planilha2">
    <tabColor rgb="FFFFC000"/>
  </sheetPr>
  <dimension ref="B1:H40"/>
  <sheetViews>
    <sheetView zoomScale="99" zoomScaleNormal="70" workbookViewId="0">
      <pane ySplit="4" topLeftCell="A5" activePane="bottomLeft" state="frozen"/>
      <selection pane="bottomLeft" activeCell="F18" sqref="F18"/>
    </sheetView>
  </sheetViews>
  <sheetFormatPr defaultRowHeight="14.4" x14ac:dyDescent="0.3"/>
  <cols>
    <col min="2" max="3" width="15.77734375" style="1" customWidth="1"/>
    <col min="4" max="4" width="11.6640625" style="1" customWidth="1"/>
    <col min="5" max="5" width="10.88671875" style="1" customWidth="1"/>
    <col min="6" max="6" width="10.6640625" customWidth="1"/>
    <col min="8" max="8" width="22.33203125" bestFit="1" customWidth="1"/>
    <col min="10" max="10" width="17.88671875" customWidth="1"/>
    <col min="11" max="11" width="89.44140625" customWidth="1"/>
    <col min="12" max="12" width="19.6640625" customWidth="1"/>
  </cols>
  <sheetData>
    <row r="1" spans="2:8" s="8" customFormat="1" ht="28.8" customHeight="1" x14ac:dyDescent="0.3">
      <c r="B1" s="12" t="s">
        <v>89</v>
      </c>
      <c r="C1" s="9"/>
      <c r="D1" s="9"/>
      <c r="E1" s="9"/>
    </row>
    <row r="2" spans="2:8" s="70" customFormat="1" ht="6" customHeight="1" x14ac:dyDescent="0.3">
      <c r="B2" s="69"/>
      <c r="C2" s="69"/>
      <c r="D2" s="69"/>
      <c r="E2" s="69"/>
    </row>
    <row r="3" spans="2:8" ht="17.399999999999999" customHeight="1" x14ac:dyDescent="0.3"/>
    <row r="4" spans="2:8" ht="28.8" customHeight="1" x14ac:dyDescent="0.3">
      <c r="B4" s="6" t="s">
        <v>3</v>
      </c>
      <c r="C4" s="6" t="s">
        <v>10</v>
      </c>
      <c r="D4" s="6" t="s">
        <v>2</v>
      </c>
      <c r="E4" s="7" t="s">
        <v>4</v>
      </c>
      <c r="H4" s="14" t="s">
        <v>81</v>
      </c>
    </row>
    <row r="5" spans="2:8" ht="17.399999999999999" customHeight="1" x14ac:dyDescent="0.3">
      <c r="B5" s="2" t="s">
        <v>57</v>
      </c>
      <c r="C5" s="2"/>
      <c r="D5" s="2" t="s">
        <v>93</v>
      </c>
      <c r="E5" s="3">
        <v>5</v>
      </c>
      <c r="H5" s="62" t="s">
        <v>57</v>
      </c>
    </row>
    <row r="6" spans="2:8" ht="17.399999999999999" customHeight="1" x14ac:dyDescent="0.3">
      <c r="B6" s="2" t="s">
        <v>58</v>
      </c>
      <c r="C6" s="2"/>
      <c r="D6" s="2" t="s">
        <v>90</v>
      </c>
      <c r="E6" s="60">
        <v>12</v>
      </c>
      <c r="H6" s="71" t="s">
        <v>48</v>
      </c>
    </row>
    <row r="7" spans="2:8" ht="17.399999999999999" customHeight="1" x14ac:dyDescent="0.3">
      <c r="B7" s="2" t="s">
        <v>48</v>
      </c>
      <c r="C7" s="2"/>
      <c r="D7" s="2" t="s">
        <v>90</v>
      </c>
      <c r="E7" s="60">
        <v>26</v>
      </c>
      <c r="H7" s="70" t="s">
        <v>58</v>
      </c>
    </row>
    <row r="8" spans="2:8" ht="17.399999999999999" customHeight="1" x14ac:dyDescent="0.3">
      <c r="B8" s="2" t="s">
        <v>57</v>
      </c>
      <c r="C8" s="2"/>
      <c r="D8" s="2" t="s">
        <v>90</v>
      </c>
      <c r="E8" s="60">
        <v>31</v>
      </c>
      <c r="H8" t="s">
        <v>61</v>
      </c>
    </row>
    <row r="9" spans="2:8" ht="17.399999999999999" customHeight="1" x14ac:dyDescent="0.3">
      <c r="B9" s="2" t="s">
        <v>57</v>
      </c>
      <c r="C9" s="2"/>
      <c r="D9" s="2" t="s">
        <v>91</v>
      </c>
      <c r="E9" s="60">
        <v>13</v>
      </c>
    </row>
    <row r="10" spans="2:8" ht="17.399999999999999" customHeight="1" x14ac:dyDescent="0.3">
      <c r="B10" s="2" t="s">
        <v>61</v>
      </c>
      <c r="C10" s="2"/>
      <c r="D10" s="2" t="s">
        <v>92</v>
      </c>
      <c r="E10" s="60">
        <v>1</v>
      </c>
    </row>
    <row r="11" spans="2:8" ht="17.399999999999999" customHeight="1" x14ac:dyDescent="0.3">
      <c r="B11" s="2" t="s">
        <v>48</v>
      </c>
      <c r="C11" s="2"/>
      <c r="D11" s="2" t="s">
        <v>92</v>
      </c>
      <c r="E11" s="60">
        <v>2</v>
      </c>
    </row>
    <row r="12" spans="2:8" ht="17.399999999999999" customHeight="1" x14ac:dyDescent="0.3">
      <c r="B12" s="2" t="s">
        <v>57</v>
      </c>
      <c r="C12" s="2"/>
      <c r="D12" s="2" t="s">
        <v>92</v>
      </c>
      <c r="E12" s="60">
        <v>2</v>
      </c>
    </row>
    <row r="13" spans="2:8" ht="17.399999999999999" customHeight="1" x14ac:dyDescent="0.3">
      <c r="B13" s="2"/>
      <c r="C13" s="2"/>
      <c r="D13" s="2"/>
    </row>
    <row r="14" spans="2:8" ht="17.399999999999999" customHeight="1" x14ac:dyDescent="0.3">
      <c r="B14" s="2"/>
      <c r="C14" s="2"/>
      <c r="D14" s="2"/>
      <c r="E14" s="60">
        <v>0</v>
      </c>
    </row>
    <row r="15" spans="2:8" ht="17.399999999999999" customHeight="1" x14ac:dyDescent="0.3">
      <c r="B15" s="4"/>
      <c r="C15" s="4"/>
      <c r="D15" s="4"/>
      <c r="E15" s="60">
        <v>0</v>
      </c>
    </row>
    <row r="16" spans="2:8" ht="17.399999999999999" customHeight="1" x14ac:dyDescent="0.3">
      <c r="B16" s="4"/>
      <c r="C16" s="4"/>
      <c r="D16" s="4"/>
      <c r="E16" s="5"/>
    </row>
    <row r="17" spans="2:5" ht="17.399999999999999" customHeight="1" x14ac:dyDescent="0.3">
      <c r="B17" s="4"/>
      <c r="C17" s="4"/>
      <c r="D17" s="4"/>
      <c r="E17" s="5"/>
    </row>
    <row r="18" spans="2:5" ht="17.399999999999999" customHeight="1" x14ac:dyDescent="0.3">
      <c r="B18" s="4"/>
      <c r="C18" s="4"/>
      <c r="D18" s="4"/>
      <c r="E18" s="5"/>
    </row>
    <row r="19" spans="2:5" ht="17.399999999999999" customHeight="1" x14ac:dyDescent="0.3">
      <c r="B19" s="4"/>
      <c r="C19" s="4"/>
      <c r="D19" s="4"/>
      <c r="E19" s="5"/>
    </row>
    <row r="20" spans="2:5" ht="17.399999999999999" customHeight="1" x14ac:dyDescent="0.3">
      <c r="B20" s="4"/>
      <c r="C20" s="4"/>
      <c r="D20" s="4"/>
      <c r="E20" s="5"/>
    </row>
    <row r="21" spans="2:5" ht="17.399999999999999" customHeight="1" x14ac:dyDescent="0.3">
      <c r="B21" s="4"/>
      <c r="C21" s="4"/>
      <c r="D21" s="4"/>
      <c r="E21" s="5"/>
    </row>
    <row r="22" spans="2:5" ht="17.399999999999999" customHeight="1" x14ac:dyDescent="0.3">
      <c r="B22" s="4"/>
      <c r="C22" s="4"/>
      <c r="D22" s="4"/>
      <c r="E22" s="5"/>
    </row>
    <row r="23" spans="2:5" ht="17.399999999999999" customHeight="1" x14ac:dyDescent="0.3">
      <c r="B23" s="4"/>
      <c r="C23" s="4"/>
      <c r="D23" s="4"/>
      <c r="E23" s="5"/>
    </row>
    <row r="24" spans="2:5" ht="17.399999999999999" customHeight="1" x14ac:dyDescent="0.3">
      <c r="B24" s="4"/>
      <c r="C24" s="4"/>
      <c r="D24" s="4"/>
      <c r="E24" s="5"/>
    </row>
    <row r="25" spans="2:5" ht="17.399999999999999" customHeight="1" x14ac:dyDescent="0.3">
      <c r="B25" s="4"/>
      <c r="C25" s="4"/>
      <c r="D25" s="4"/>
      <c r="E25" s="5"/>
    </row>
    <row r="26" spans="2:5" ht="17.399999999999999" customHeight="1" x14ac:dyDescent="0.3">
      <c r="B26" s="4"/>
      <c r="C26" s="4"/>
      <c r="D26" s="4"/>
      <c r="E26" s="5"/>
    </row>
    <row r="27" spans="2:5" ht="17.399999999999999" customHeight="1" x14ac:dyDescent="0.3">
      <c r="B27" s="4"/>
      <c r="C27" s="4"/>
      <c r="D27" s="4"/>
      <c r="E27" s="5"/>
    </row>
    <row r="28" spans="2:5" ht="17.399999999999999" customHeight="1" x14ac:dyDescent="0.3">
      <c r="B28" s="4"/>
      <c r="C28" s="4"/>
      <c r="D28" s="4"/>
      <c r="E28" s="5"/>
    </row>
    <row r="29" spans="2:5" ht="17.399999999999999" customHeight="1" x14ac:dyDescent="0.3">
      <c r="B29" s="4"/>
      <c r="C29" s="4"/>
      <c r="D29" s="4"/>
      <c r="E29" s="5"/>
    </row>
    <row r="30" spans="2:5" ht="17.399999999999999" customHeight="1" x14ac:dyDescent="0.3">
      <c r="B30" s="4"/>
      <c r="C30" s="4"/>
      <c r="D30" s="4"/>
      <c r="E30" s="5"/>
    </row>
    <row r="31" spans="2:5" ht="17.399999999999999" customHeight="1" x14ac:dyDescent="0.3">
      <c r="B31" s="4"/>
      <c r="C31" s="4"/>
      <c r="D31" s="4"/>
      <c r="E31" s="5"/>
    </row>
    <row r="32" spans="2:5" ht="17.399999999999999" customHeight="1" x14ac:dyDescent="0.3">
      <c r="B32" s="4"/>
      <c r="C32" s="4"/>
      <c r="D32" s="4"/>
      <c r="E32" s="5"/>
    </row>
    <row r="33" spans="2:5" ht="17.399999999999999" customHeight="1" x14ac:dyDescent="0.3">
      <c r="B33" s="4"/>
      <c r="C33" s="4"/>
      <c r="D33" s="4"/>
      <c r="E33" s="5"/>
    </row>
    <row r="34" spans="2:5" ht="17.399999999999999" customHeight="1" x14ac:dyDescent="0.3">
      <c r="B34" s="2"/>
      <c r="C34" s="2"/>
      <c r="D34" s="2"/>
      <c r="E34" s="3"/>
    </row>
    <row r="35" spans="2:5" ht="17.399999999999999" customHeight="1" x14ac:dyDescent="0.3">
      <c r="B35" s="58"/>
      <c r="C35" s="59"/>
      <c r="D35" s="59"/>
      <c r="E35" s="60"/>
    </row>
    <row r="36" spans="2:5" ht="17.399999999999999" customHeight="1" x14ac:dyDescent="0.3">
      <c r="B36" s="58"/>
      <c r="C36" s="59"/>
      <c r="D36" s="59"/>
      <c r="E36" s="60"/>
    </row>
    <row r="37" spans="2:5" ht="17.399999999999999" customHeight="1" x14ac:dyDescent="0.3">
      <c r="B37" s="58"/>
      <c r="C37" s="59"/>
      <c r="D37" s="59"/>
      <c r="E37" s="60"/>
    </row>
    <row r="38" spans="2:5" ht="17.399999999999999" customHeight="1" x14ac:dyDescent="0.3">
      <c r="B38" s="58"/>
      <c r="C38" s="59"/>
      <c r="D38" s="59"/>
      <c r="E38" s="60"/>
    </row>
    <row r="39" spans="2:5" ht="17.399999999999999" customHeight="1" x14ac:dyDescent="0.3">
      <c r="B39" s="58"/>
      <c r="C39" s="59"/>
      <c r="D39" s="59"/>
      <c r="E39" s="60"/>
    </row>
    <row r="40" spans="2:5" ht="17.399999999999999" customHeight="1" x14ac:dyDescent="0.3">
      <c r="B40"/>
      <c r="C40"/>
      <c r="D40"/>
      <c r="E40"/>
    </row>
  </sheetData>
  <conditionalFormatting sqref="B5:B12">
    <cfRule type="containsText" dxfId="3" priority="1" operator="containsText" text="Amarelo">
      <formula>NOT(ISERROR(SEARCH("Amarelo",B5)))</formula>
    </cfRule>
    <cfRule type="containsText" dxfId="2" priority="2" operator="containsText" text="Verde">
      <formula>NOT(ISERROR(SEARCH("Verde",B5)))</formula>
    </cfRule>
    <cfRule type="containsText" dxfId="1" priority="3" operator="containsText" text="Vermelho">
      <formula>NOT(ISERROR(SEARCH("Vermelho",B5)))</formula>
    </cfRule>
  </conditionalFormatting>
  <dataValidations count="1">
    <dataValidation type="list" allowBlank="1" showInputMessage="1" showErrorMessage="1" sqref="B5 D35:D39" xr:uid="{707E3338-D648-4874-9AD3-7496E8E0022D}">
      <formula1>$H$5:$H$8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Capacitores</vt:lpstr>
      <vt:lpstr>Resistores</vt:lpstr>
      <vt:lpstr>Leds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sobral</dc:creator>
  <cp:lastModifiedBy>roberto sobral</cp:lastModifiedBy>
  <dcterms:created xsi:type="dcterms:W3CDTF">2023-01-22T15:22:40Z</dcterms:created>
  <dcterms:modified xsi:type="dcterms:W3CDTF">2023-01-25T20:08:36Z</dcterms:modified>
</cp:coreProperties>
</file>